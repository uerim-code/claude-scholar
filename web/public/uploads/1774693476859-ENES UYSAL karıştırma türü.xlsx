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umitcanerim/Downloads/"/>
    </mc:Choice>
  </mc:AlternateContent>
  <xr:revisionPtr revIDLastSave="0" documentId="8_{E7D46D9F-0CC2-EA46-957B-73EE305266B3}" xr6:coauthVersionLast="47" xr6:coauthVersionMax="47" xr10:uidLastSave="{00000000-0000-0000-0000-000000000000}"/>
  <bookViews>
    <workbookView xWindow="4420" yWindow="1320" windowWidth="21400" windowHeight="15840" tabRatio="870" firstSheet="1" activeTab="5" xr2:uid="{00000000-000D-0000-FFFF-FFFF00000000}"/>
  </bookViews>
  <sheets>
    <sheet name="ENES UYSAL genel bilgiler" sheetId="1" r:id="rId1"/>
    <sheet name="MNP Türü" sheetId="2" r:id="rId2"/>
    <sheet name="ENES UYSAL MNP Miktarı optimiza" sheetId="3" r:id="rId3"/>
    <sheet name="ENES UYSAL Tampon türü optimi" sheetId="4" r:id="rId4"/>
    <sheet name="ENES UYSAL Tampon miktarı" sheetId="5" r:id="rId5"/>
    <sheet name="Karıştırma Türü" sheetId="6" r:id="rId6"/>
    <sheet name="Karıştırma Periyodu" sheetId="7" r:id="rId7"/>
    <sheet name="Elüent Türü" sheetId="8" r:id="rId8"/>
    <sheet name="Elüent Miktarı" sheetId="9" r:id="rId9"/>
    <sheet name="Standart Miktarı" sheetId="10" r:id="rId10"/>
    <sheet name="LOD-LOQ" sheetId="11" r:id="rId11"/>
    <sheet name="İdrar Deneme" sheetId="13" r:id="rId12"/>
    <sheet name="Recovery" sheetId="14" r:id="rId13"/>
    <sheet name="HPLC Cihaz Optimizasyonları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uJWHs7L/05NkidGprzXHhm5/kABjS8DA2G4EPp6/yVo="/>
    </ext>
  </extLst>
</workbook>
</file>

<file path=xl/calcChain.xml><?xml version="1.0" encoding="utf-8"?>
<calcChain xmlns="http://schemas.openxmlformats.org/spreadsheetml/2006/main">
  <c r="F24" i="14" l="1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J22" i="14" s="1"/>
  <c r="E37" i="14"/>
  <c r="E38" i="14"/>
  <c r="E39" i="14"/>
  <c r="J23" i="14" s="1"/>
  <c r="E40" i="14"/>
  <c r="J24" i="14" s="1"/>
  <c r="E2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J11" i="14" s="1"/>
  <c r="E17" i="14"/>
  <c r="J12" i="14" s="1"/>
  <c r="E18" i="14"/>
  <c r="J13" i="14" s="1"/>
  <c r="E19" i="14"/>
  <c r="J14" i="14" s="1"/>
  <c r="E20" i="14"/>
  <c r="J15" i="14" s="1"/>
  <c r="E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3" i="14"/>
  <c r="M3" i="11"/>
  <c r="L3" i="11"/>
  <c r="C17" i="11"/>
  <c r="C18" i="11"/>
  <c r="H4" i="11"/>
  <c r="I4" i="11"/>
  <c r="B18" i="11"/>
  <c r="D18" i="11" s="1"/>
  <c r="B43" i="11"/>
  <c r="B42" i="11"/>
  <c r="I37" i="11"/>
  <c r="H37" i="11"/>
  <c r="I36" i="11"/>
  <c r="H40" i="11"/>
  <c r="I35" i="11"/>
  <c r="H35" i="11"/>
  <c r="I34" i="11"/>
  <c r="H34" i="11"/>
  <c r="I33" i="11"/>
  <c r="H33" i="11"/>
  <c r="I32" i="11"/>
  <c r="H32" i="11"/>
  <c r="I31" i="11"/>
  <c r="H23" i="11"/>
  <c r="I30" i="11"/>
  <c r="H30" i="11"/>
  <c r="I29" i="11"/>
  <c r="H29" i="11"/>
  <c r="I28" i="11"/>
  <c r="H28" i="11"/>
  <c r="I27" i="11"/>
  <c r="M25" i="11" s="1"/>
  <c r="H27" i="11"/>
  <c r="I26" i="11"/>
  <c r="H26" i="11"/>
  <c r="I25" i="11"/>
  <c r="H25" i="11"/>
  <c r="I16" i="11"/>
  <c r="H20" i="11"/>
  <c r="I15" i="11"/>
  <c r="H15" i="11"/>
  <c r="I14" i="11"/>
  <c r="H19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3" i="11"/>
  <c r="H3" i="11"/>
  <c r="E45" i="10"/>
  <c r="F45" i="10" s="1"/>
  <c r="D45" i="10"/>
  <c r="E44" i="10"/>
  <c r="F44" i="10" s="1"/>
  <c r="D44" i="10"/>
  <c r="E43" i="10"/>
  <c r="D43" i="10"/>
  <c r="F43" i="10" s="1"/>
  <c r="F42" i="10"/>
  <c r="E42" i="10"/>
  <c r="D42" i="10"/>
  <c r="E41" i="10"/>
  <c r="D41" i="10"/>
  <c r="F41" i="10" s="1"/>
  <c r="E40" i="10"/>
  <c r="F40" i="10" s="1"/>
  <c r="D40" i="10"/>
  <c r="E37" i="10"/>
  <c r="F37" i="10" s="1"/>
  <c r="D37" i="10"/>
  <c r="E36" i="10"/>
  <c r="F36" i="10" s="1"/>
  <c r="D36" i="10"/>
  <c r="E35" i="10"/>
  <c r="F35" i="10" s="1"/>
  <c r="D35" i="10"/>
  <c r="E34" i="10"/>
  <c r="F34" i="10" s="1"/>
  <c r="D34" i="10"/>
  <c r="E33" i="10"/>
  <c r="D33" i="10"/>
  <c r="F33" i="10" s="1"/>
  <c r="F32" i="10"/>
  <c r="E32" i="10"/>
  <c r="D32" i="10"/>
  <c r="E14" i="10"/>
  <c r="D14" i="10"/>
  <c r="F14" i="10" s="1"/>
  <c r="E13" i="10"/>
  <c r="F13" i="10" s="1"/>
  <c r="D13" i="10"/>
  <c r="E12" i="10"/>
  <c r="F12" i="10" s="1"/>
  <c r="D12" i="10"/>
  <c r="E11" i="10"/>
  <c r="F11" i="10" s="1"/>
  <c r="D11" i="10"/>
  <c r="E10" i="10"/>
  <c r="F10" i="10" s="1"/>
  <c r="D10" i="10"/>
  <c r="F7" i="10"/>
  <c r="E7" i="10"/>
  <c r="D7" i="10"/>
  <c r="E6" i="10"/>
  <c r="D6" i="10"/>
  <c r="F6" i="10" s="1"/>
  <c r="F5" i="10"/>
  <c r="E5" i="10"/>
  <c r="D5" i="10"/>
  <c r="E4" i="10"/>
  <c r="D4" i="10"/>
  <c r="F4" i="10" s="1"/>
  <c r="E3" i="10"/>
  <c r="F3" i="10" s="1"/>
  <c r="D3" i="10"/>
  <c r="F14" i="9"/>
  <c r="G14" i="9" s="1"/>
  <c r="E14" i="9"/>
  <c r="F13" i="9"/>
  <c r="G13" i="9" s="1"/>
  <c r="E13" i="9"/>
  <c r="F12" i="9"/>
  <c r="G12" i="9" s="1"/>
  <c r="E12" i="9"/>
  <c r="F11" i="9"/>
  <c r="E11" i="9"/>
  <c r="G11" i="9" s="1"/>
  <c r="F10" i="9"/>
  <c r="G10" i="9" s="1"/>
  <c r="E10" i="9"/>
  <c r="G7" i="9"/>
  <c r="F7" i="9"/>
  <c r="E7" i="9"/>
  <c r="F6" i="9"/>
  <c r="G6" i="9" s="1"/>
  <c r="E6" i="9"/>
  <c r="F5" i="9"/>
  <c r="G5" i="9" s="1"/>
  <c r="E5" i="9"/>
  <c r="F4" i="9"/>
  <c r="G4" i="9" s="1"/>
  <c r="E4" i="9"/>
  <c r="G3" i="9"/>
  <c r="F3" i="9"/>
  <c r="E3" i="9"/>
  <c r="F10" i="8"/>
  <c r="G10" i="8" s="1"/>
  <c r="E10" i="8"/>
  <c r="F9" i="8"/>
  <c r="E9" i="8"/>
  <c r="G9" i="8" s="1"/>
  <c r="F8" i="8"/>
  <c r="G8" i="8" s="1"/>
  <c r="E8" i="8"/>
  <c r="G5" i="8"/>
  <c r="F5" i="8"/>
  <c r="E5" i="8"/>
  <c r="F4" i="8"/>
  <c r="G4" i="8" s="1"/>
  <c r="E4" i="8"/>
  <c r="F3" i="8"/>
  <c r="E3" i="8"/>
  <c r="G3" i="8" s="1"/>
  <c r="E14" i="7"/>
  <c r="F14" i="7" s="1"/>
  <c r="D14" i="7"/>
  <c r="F13" i="7"/>
  <c r="E13" i="7"/>
  <c r="D13" i="7"/>
  <c r="E12" i="7"/>
  <c r="F12" i="7" s="1"/>
  <c r="D12" i="7"/>
  <c r="E11" i="7"/>
  <c r="D11" i="7"/>
  <c r="F11" i="7" s="1"/>
  <c r="E10" i="7"/>
  <c r="F10" i="7" s="1"/>
  <c r="D10" i="7"/>
  <c r="F7" i="7"/>
  <c r="E7" i="7"/>
  <c r="D7" i="7"/>
  <c r="E6" i="7"/>
  <c r="F6" i="7" s="1"/>
  <c r="D6" i="7"/>
  <c r="E5" i="7"/>
  <c r="D5" i="7"/>
  <c r="F5" i="7" s="1"/>
  <c r="E4" i="7"/>
  <c r="F4" i="7" s="1"/>
  <c r="D4" i="7"/>
  <c r="F3" i="7"/>
  <c r="E3" i="7"/>
  <c r="D3" i="7"/>
  <c r="E10" i="6"/>
  <c r="F10" i="6" s="1"/>
  <c r="D10" i="6"/>
  <c r="E9" i="6"/>
  <c r="D9" i="6"/>
  <c r="F9" i="6" s="1"/>
  <c r="E8" i="6"/>
  <c r="F8" i="6" s="1"/>
  <c r="D8" i="6"/>
  <c r="F5" i="6"/>
  <c r="E5" i="6"/>
  <c r="D5" i="6"/>
  <c r="E4" i="6"/>
  <c r="F4" i="6" s="1"/>
  <c r="D4" i="6"/>
  <c r="E3" i="6"/>
  <c r="D3" i="6"/>
  <c r="F3" i="6" s="1"/>
  <c r="F14" i="5"/>
  <c r="G14" i="5" s="1"/>
  <c r="E14" i="5"/>
  <c r="G13" i="5"/>
  <c r="F13" i="5"/>
  <c r="E13" i="5"/>
  <c r="F12" i="5"/>
  <c r="G12" i="5" s="1"/>
  <c r="E12" i="5"/>
  <c r="F11" i="5"/>
  <c r="E11" i="5"/>
  <c r="G11" i="5" s="1"/>
  <c r="F10" i="5"/>
  <c r="G10" i="5" s="1"/>
  <c r="E10" i="5"/>
  <c r="G7" i="5"/>
  <c r="F7" i="5"/>
  <c r="E7" i="5"/>
  <c r="F6" i="5"/>
  <c r="G6" i="5" s="1"/>
  <c r="E6" i="5"/>
  <c r="F5" i="5"/>
  <c r="E5" i="5"/>
  <c r="G5" i="5" s="1"/>
  <c r="F4" i="5"/>
  <c r="G4" i="5" s="1"/>
  <c r="E4" i="5"/>
  <c r="G3" i="5"/>
  <c r="F3" i="5"/>
  <c r="E3" i="5"/>
  <c r="E18" i="4"/>
  <c r="F18" i="4" s="1"/>
  <c r="D18" i="4"/>
  <c r="E17" i="4"/>
  <c r="D17" i="4"/>
  <c r="F17" i="4" s="1"/>
  <c r="E16" i="4"/>
  <c r="F16" i="4" s="1"/>
  <c r="D16" i="4"/>
  <c r="F15" i="4"/>
  <c r="E15" i="4"/>
  <c r="D15" i="4"/>
  <c r="E14" i="4"/>
  <c r="F14" i="4" s="1"/>
  <c r="D14" i="4"/>
  <c r="E13" i="4"/>
  <c r="D13" i="4"/>
  <c r="F13" i="4" s="1"/>
  <c r="E12" i="4"/>
  <c r="F12" i="4" s="1"/>
  <c r="D12" i="4"/>
  <c r="F9" i="4"/>
  <c r="E9" i="4"/>
  <c r="D9" i="4"/>
  <c r="E8" i="4"/>
  <c r="F8" i="4" s="1"/>
  <c r="D8" i="4"/>
  <c r="E7" i="4"/>
  <c r="D7" i="4"/>
  <c r="F7" i="4" s="1"/>
  <c r="E6" i="4"/>
  <c r="F6" i="4" s="1"/>
  <c r="D6" i="4"/>
  <c r="F5" i="4"/>
  <c r="E5" i="4"/>
  <c r="D5" i="4"/>
  <c r="E4" i="4"/>
  <c r="F4" i="4" s="1"/>
  <c r="D4" i="4"/>
  <c r="E3" i="4"/>
  <c r="D3" i="4"/>
  <c r="F3" i="4" s="1"/>
  <c r="E14" i="3"/>
  <c r="F14" i="3" s="1"/>
  <c r="D14" i="3"/>
  <c r="F13" i="3"/>
  <c r="E13" i="3"/>
  <c r="D13" i="3"/>
  <c r="E12" i="3"/>
  <c r="F12" i="3" s="1"/>
  <c r="D12" i="3"/>
  <c r="E11" i="3"/>
  <c r="D11" i="3"/>
  <c r="F11" i="3" s="1"/>
  <c r="E10" i="3"/>
  <c r="F10" i="3" s="1"/>
  <c r="D10" i="3"/>
  <c r="F7" i="3"/>
  <c r="E7" i="3"/>
  <c r="D7" i="3"/>
  <c r="E6" i="3"/>
  <c r="F6" i="3" s="1"/>
  <c r="D6" i="3"/>
  <c r="E5" i="3"/>
  <c r="D5" i="3"/>
  <c r="F5" i="3" s="1"/>
  <c r="E4" i="3"/>
  <c r="F4" i="3" s="1"/>
  <c r="D4" i="3"/>
  <c r="F3" i="3"/>
  <c r="E3" i="3"/>
  <c r="D3" i="3"/>
  <c r="J8" i="14" l="1"/>
  <c r="J4" i="14"/>
  <c r="G28" i="14"/>
  <c r="G24" i="14"/>
  <c r="G38" i="14"/>
  <c r="G30" i="14"/>
  <c r="G26" i="14"/>
  <c r="J7" i="14"/>
  <c r="G37" i="14"/>
  <c r="G29" i="14"/>
  <c r="J6" i="14"/>
  <c r="G40" i="14"/>
  <c r="J20" i="14"/>
  <c r="J18" i="14"/>
  <c r="J5" i="14"/>
  <c r="J19" i="14"/>
  <c r="G25" i="14"/>
  <c r="G39" i="14"/>
  <c r="G27" i="14"/>
  <c r="G34" i="14"/>
  <c r="G33" i="14"/>
  <c r="G31" i="14"/>
  <c r="G18" i="14"/>
  <c r="G14" i="14"/>
  <c r="G36" i="14"/>
  <c r="G35" i="14"/>
  <c r="G32" i="14"/>
  <c r="G10" i="14"/>
  <c r="G6" i="14"/>
  <c r="G17" i="14"/>
  <c r="G9" i="14"/>
  <c r="G20" i="14"/>
  <c r="G16" i="14"/>
  <c r="G12" i="14"/>
  <c r="G8" i="14"/>
  <c r="G13" i="14"/>
  <c r="G19" i="14"/>
  <c r="G15" i="14"/>
  <c r="G11" i="14"/>
  <c r="G7" i="14"/>
  <c r="G4" i="14"/>
  <c r="G3" i="14"/>
  <c r="G5" i="14"/>
  <c r="G23" i="14"/>
  <c r="J8" i="11"/>
  <c r="J4" i="11"/>
  <c r="D17" i="11"/>
  <c r="L25" i="11"/>
  <c r="B17" i="11"/>
  <c r="J10" i="11"/>
  <c r="J33" i="11"/>
  <c r="J37" i="11"/>
  <c r="J3" i="11"/>
  <c r="C42" i="11"/>
  <c r="C39" i="11" s="1"/>
  <c r="J12" i="11"/>
  <c r="J16" i="11"/>
  <c r="J27" i="11"/>
  <c r="J31" i="11"/>
  <c r="J15" i="11"/>
  <c r="J7" i="11"/>
  <c r="J6" i="11"/>
  <c r="B38" i="11"/>
  <c r="D39" i="11"/>
  <c r="J9" i="11"/>
  <c r="J13" i="11"/>
  <c r="J14" i="11"/>
  <c r="J30" i="11"/>
  <c r="J5" i="11"/>
  <c r="J11" i="11"/>
  <c r="J26" i="11"/>
  <c r="J29" i="11"/>
  <c r="J34" i="11"/>
  <c r="J35" i="11"/>
  <c r="J28" i="11"/>
  <c r="J25" i="11"/>
  <c r="J32" i="11"/>
  <c r="J36" i="11"/>
  <c r="C38" i="11" l="1"/>
  <c r="I38" i="11" s="1"/>
  <c r="D38" i="11"/>
  <c r="I17" i="11"/>
  <c r="H17" i="11"/>
  <c r="B39" i="11"/>
  <c r="I39" i="11"/>
  <c r="H39" i="11"/>
  <c r="J17" i="11" l="1"/>
  <c r="J38" i="11"/>
  <c r="H41" i="11"/>
  <c r="J39" i="11"/>
</calcChain>
</file>

<file path=xl/sharedStrings.xml><?xml version="1.0" encoding="utf-8"?>
<sst xmlns="http://schemas.openxmlformats.org/spreadsheetml/2006/main" count="430" uniqueCount="136">
  <si>
    <t>Analit</t>
  </si>
  <si>
    <t>Fluoksetin ve Sitalopram</t>
  </si>
  <si>
    <t>Cihaz</t>
  </si>
  <si>
    <t>Agilent 1100 HPLC-UV</t>
  </si>
  <si>
    <t>Alıkonma Zamanı</t>
  </si>
  <si>
    <t>Metot</t>
  </si>
  <si>
    <t>MNP Mikroekstraksiyonu</t>
  </si>
  <si>
    <t>Fluoksetin</t>
  </si>
  <si>
    <t>5.8 min</t>
  </si>
  <si>
    <t>Alıkonma zamanı</t>
  </si>
  <si>
    <t>Sitalopram</t>
  </si>
  <si>
    <t>7.3 min</t>
  </si>
  <si>
    <t>Optimizasyonlar</t>
  </si>
  <si>
    <t>MNP Mikroektraksiyon</t>
  </si>
  <si>
    <t>Optimum Değerler</t>
  </si>
  <si>
    <t>MNP Türü</t>
  </si>
  <si>
    <t>Stearik asit</t>
  </si>
  <si>
    <t>Mix Derişimi</t>
  </si>
  <si>
    <t>MNP Miktarı</t>
  </si>
  <si>
    <t>50 mg</t>
  </si>
  <si>
    <t>Tampon türü</t>
  </si>
  <si>
    <t>pH: 9,0</t>
  </si>
  <si>
    <t>Örnek Hacmi</t>
  </si>
  <si>
    <t>15 mL</t>
  </si>
  <si>
    <t>Tampon Miktarı</t>
  </si>
  <si>
    <t>1 mL</t>
  </si>
  <si>
    <t>Karıştırma türü/süresi</t>
  </si>
  <si>
    <t>Ultrasonikasyon/45 saniye</t>
  </si>
  <si>
    <t>Karıştırma Türü</t>
  </si>
  <si>
    <t>Ultrasonikasyon</t>
  </si>
  <si>
    <t>Elüent türü</t>
  </si>
  <si>
    <t>Metanol</t>
  </si>
  <si>
    <t>Karıştırma Periyodu</t>
  </si>
  <si>
    <t>45 s</t>
  </si>
  <si>
    <t>Elüent hacmi</t>
  </si>
  <si>
    <r>
      <rPr>
        <sz val="11"/>
        <color theme="1"/>
        <rFont val="Calibri"/>
        <family val="2"/>
      </rPr>
      <t xml:space="preserve">250 </t>
    </r>
    <r>
      <rPr>
        <sz val="11"/>
        <color theme="1"/>
        <rFont val="Aptos Narrow"/>
      </rPr>
      <t>µL</t>
    </r>
  </si>
  <si>
    <t>Elüent Türü</t>
  </si>
  <si>
    <t xml:space="preserve">Metanol </t>
  </si>
  <si>
    <t>Enjeksiyon hacmi</t>
  </si>
  <si>
    <t>30 µL</t>
  </si>
  <si>
    <t>Elüent Miktarı</t>
  </si>
  <si>
    <r>
      <rPr>
        <sz val="11"/>
        <color theme="1"/>
        <rFont val="Calibri"/>
        <family val="2"/>
      </rPr>
      <t xml:space="preserve">250 </t>
    </r>
    <r>
      <rPr>
        <sz val="11"/>
        <color theme="1"/>
        <rFont val="Aptos Narrow"/>
      </rPr>
      <t>µ</t>
    </r>
    <r>
      <rPr>
        <sz val="11"/>
        <color theme="1"/>
        <rFont val="Calibri"/>
        <family val="2"/>
      </rPr>
      <t>L</t>
    </r>
  </si>
  <si>
    <t>Dalga boyu</t>
  </si>
  <si>
    <t>230 nm</t>
  </si>
  <si>
    <t>Standart Miktarı</t>
  </si>
  <si>
    <t>Kolon sıcaklığı</t>
  </si>
  <si>
    <r>
      <rPr>
        <sz val="11"/>
        <color theme="1"/>
        <rFont val="Calibri"/>
        <family val="2"/>
      </rPr>
      <t xml:space="preserve">30 </t>
    </r>
    <r>
      <rPr>
        <sz val="11"/>
        <color theme="1"/>
        <rFont val="Aptos Narrow"/>
      </rPr>
      <t>°C</t>
    </r>
  </si>
  <si>
    <t>HPLC</t>
  </si>
  <si>
    <t>Akış hızı</t>
  </si>
  <si>
    <t>1,0 mL/min</t>
  </si>
  <si>
    <t>Mobil fazın pH'ı ve konsantrasyonu</t>
  </si>
  <si>
    <t>Mobil faz kombinasyonu</t>
  </si>
  <si>
    <r>
      <rPr>
        <sz val="11"/>
        <color theme="1"/>
        <rFont val="Calibri"/>
        <family val="2"/>
      </rPr>
      <t>Gradient, 50 mM AmFt</t>
    </r>
    <r>
      <rPr>
        <u/>
        <sz val="11"/>
        <color theme="1"/>
        <rFont val="Calibri"/>
        <family val="2"/>
      </rPr>
      <t xml:space="preserve"> pH:4,0 + ACN</t>
    </r>
  </si>
  <si>
    <t>Analiz süresi</t>
  </si>
  <si>
    <t>15 dakika</t>
  </si>
  <si>
    <t>MNP miktarı</t>
  </si>
  <si>
    <t>Peak Area</t>
  </si>
  <si>
    <t>Mean</t>
  </si>
  <si>
    <t>Std, Dev,</t>
  </si>
  <si>
    <t>RSD%</t>
  </si>
  <si>
    <t xml:space="preserve">5 ppm standartta çalışılmıştır </t>
  </si>
  <si>
    <t>pH Türü</t>
  </si>
  <si>
    <t>0,5 ppm standartta çalışılmıştır</t>
  </si>
  <si>
    <t>Tampon miktarı</t>
  </si>
  <si>
    <t>0,5 mL</t>
  </si>
  <si>
    <t>0,75 mL</t>
  </si>
  <si>
    <t>1,5 mL</t>
  </si>
  <si>
    <t>2 mL</t>
  </si>
  <si>
    <t>Karıştırma Süresi</t>
  </si>
  <si>
    <t>0 s</t>
  </si>
  <si>
    <t>15 s</t>
  </si>
  <si>
    <t>30 s</t>
  </si>
  <si>
    <t>60 s</t>
  </si>
  <si>
    <t>1 ppm standartta çalışılmıştır</t>
  </si>
  <si>
    <t>Etanol</t>
  </si>
  <si>
    <t>ACN</t>
  </si>
  <si>
    <t>200 uL</t>
  </si>
  <si>
    <t>250 uL</t>
  </si>
  <si>
    <t>300 uL</t>
  </si>
  <si>
    <t>400 uL</t>
  </si>
  <si>
    <t>500 uL</t>
  </si>
  <si>
    <t>Standart Hacmi</t>
  </si>
  <si>
    <t>… türü</t>
  </si>
  <si>
    <t>MeOH</t>
  </si>
  <si>
    <t>300 ul MeOH</t>
  </si>
  <si>
    <t>30 ul</t>
  </si>
  <si>
    <t>30 C</t>
  </si>
  <si>
    <r>
      <rPr>
        <sz val="11"/>
        <color theme="1"/>
        <rFont val="Calibri"/>
        <family val="2"/>
      </rPr>
      <t>Gradient, 50 mM AmFt</t>
    </r>
    <r>
      <rPr>
        <u/>
        <sz val="11"/>
        <color theme="1"/>
        <rFont val="Calibri"/>
        <family val="2"/>
      </rPr>
      <t xml:space="preserve"> pH:4,0 + ACN</t>
    </r>
  </si>
  <si>
    <t>15 min</t>
  </si>
  <si>
    <t>Tampon Hacmi</t>
  </si>
  <si>
    <t>1,0 mL</t>
  </si>
  <si>
    <t>Konsantrasyon (ppm)</t>
  </si>
  <si>
    <t>Std. Dev.</t>
  </si>
  <si>
    <t>LOD</t>
  </si>
  <si>
    <t>LOQ</t>
  </si>
  <si>
    <t>%RSD</t>
  </si>
  <si>
    <t>RSD</t>
  </si>
  <si>
    <t>Su+mix</t>
  </si>
  <si>
    <t>Ö. idrar</t>
  </si>
  <si>
    <t>-</t>
  </si>
  <si>
    <t>E. idrar</t>
  </si>
  <si>
    <t>Ö. idrar+mix</t>
  </si>
  <si>
    <t>E. idrar+mix</t>
  </si>
  <si>
    <t>Ö. çökmüş idrar</t>
  </si>
  <si>
    <t>E. çökmüş idrar</t>
  </si>
  <si>
    <t>Ö. çökmüş idrar+mix</t>
  </si>
  <si>
    <t>E. çökmüş idrar+mix</t>
  </si>
  <si>
    <t>Vorteks</t>
  </si>
  <si>
    <t>Çalkalama</t>
  </si>
  <si>
    <t>Sulu Blank</t>
  </si>
  <si>
    <t>Sulu 0,25</t>
  </si>
  <si>
    <t>Sulu 0,75</t>
  </si>
  <si>
    <t xml:space="preserve"> Sulu 1</t>
  </si>
  <si>
    <t xml:space="preserve"> Sulu 2</t>
  </si>
  <si>
    <t>Ö. Blank</t>
  </si>
  <si>
    <t>Ö. 0,1</t>
  </si>
  <si>
    <t>Ö. 0,25</t>
  </si>
  <si>
    <t>Ö. 0,75</t>
  </si>
  <si>
    <t>Ö. 1</t>
  </si>
  <si>
    <t>Ö. 2</t>
  </si>
  <si>
    <t>E. Blank</t>
  </si>
  <si>
    <t>E. 0,1</t>
  </si>
  <si>
    <t>E. 0,25</t>
  </si>
  <si>
    <t>E. 0,75</t>
  </si>
  <si>
    <t>E. 1</t>
  </si>
  <si>
    <t>E. 2</t>
  </si>
  <si>
    <t>İDRAR A</t>
  </si>
  <si>
    <t>RECOVERY%</t>
  </si>
  <si>
    <t>İDRAR B</t>
  </si>
  <si>
    <t>±</t>
  </si>
  <si>
    <t>FLUOKSETİN</t>
  </si>
  <si>
    <t>SİTALOPRAM</t>
  </si>
  <si>
    <t>0,1 ppm</t>
  </si>
  <si>
    <t>1 ppm</t>
  </si>
  <si>
    <t>2 ppm</t>
  </si>
  <si>
    <t>%GERİ KAZANIM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</si>
</sst>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sz val="11"/>
      <color theme="1"/>
      <name val="Aptos Narrow"/>
    </font>
    <font>
      <u/>
      <sz val="11"/>
      <color theme="1"/>
      <name val="Calibri"/>
      <family val="2"/>
    </font>
    <font>
      <b/>
      <sz val="11"/>
      <color theme="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theme="1"/>
      <name val="Leelawadee"/>
      <family val="2"/>
      <charset val="222"/>
    </font>
  </fonts>
  <fills count="11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A8D08D"/>
        <bgColor rgb="FFA8D08D"/>
      </patternFill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D6DCE4"/>
        <bgColor rgb="FFD6DCE4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9" borderId="21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2" fontId="4" fillId="0" borderId="37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NUL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Fluoksetin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'ENES UYSAL MNP Miktarı optimiza'!$A$3:$A$7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xVal>
          <c:yVal>
            <c:numRef>
              <c:f>'ENES UYSAL MNP Miktarı optimiza'!$D$3:$D$7</c:f>
              <c:numCache>
                <c:formatCode>General</c:formatCode>
                <c:ptCount val="5"/>
                <c:pt idx="0">
                  <c:v>257.57600000000002</c:v>
                </c:pt>
                <c:pt idx="1">
                  <c:v>341.68</c:v>
                </c:pt>
                <c:pt idx="2">
                  <c:v>531.08400000000006</c:v>
                </c:pt>
                <c:pt idx="3">
                  <c:v>737.56600000000003</c:v>
                </c:pt>
                <c:pt idx="4">
                  <c:v>977.07150000000001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4F-4D45-9EA1-58C0267A4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02981"/>
        <c:axId val="842015603"/>
      </c:scatterChart>
      <c:valAx>
        <c:axId val="637902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MNP Miktarı (mg)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2015603"/>
        <c:crosses val="autoZero"/>
        <c:crossBetween val="midCat"/>
      </c:valAx>
      <c:valAx>
        <c:axId val="8420156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790298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'ENES UYSAL MNP Miktarı optimiza'!$A$10:$A$14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xVal>
          <c:yVal>
            <c:numRef>
              <c:f>'ENES UYSAL MNP Miktarı optimiza'!$D$10:$D$14</c:f>
              <c:numCache>
                <c:formatCode>General</c:formatCode>
                <c:ptCount val="5"/>
                <c:pt idx="0">
                  <c:v>1799.75</c:v>
                </c:pt>
                <c:pt idx="1">
                  <c:v>2309.15</c:v>
                </c:pt>
                <c:pt idx="2">
                  <c:v>2412.7449999999999</c:v>
                </c:pt>
                <c:pt idx="3">
                  <c:v>2732.7250000000004</c:v>
                </c:pt>
                <c:pt idx="4">
                  <c:v>3349.38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55-46B7-BE5D-C3C4E055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70899"/>
        <c:axId val="1487209598"/>
      </c:scatterChart>
      <c:valAx>
        <c:axId val="412270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MNP Miktarı (mg)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7209598"/>
        <c:crosses val="autoZero"/>
        <c:crossBetween val="midCat"/>
      </c:valAx>
      <c:valAx>
        <c:axId val="14872095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227089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Fluoksetin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'ENES UYSAL Tampon türü optimi'!$A$3:$A$9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'ENES UYSAL Tampon türü optimi'!$D$3:$D$9</c:f>
              <c:numCache>
                <c:formatCode>General</c:formatCode>
                <c:ptCount val="7"/>
                <c:pt idx="0">
                  <c:v>305.54200000000003</c:v>
                </c:pt>
                <c:pt idx="1">
                  <c:v>127.2295</c:v>
                </c:pt>
                <c:pt idx="2">
                  <c:v>194.15350000000001</c:v>
                </c:pt>
                <c:pt idx="3">
                  <c:v>343.89699999999999</c:v>
                </c:pt>
                <c:pt idx="4">
                  <c:v>526.33600000000001</c:v>
                </c:pt>
                <c:pt idx="5">
                  <c:v>698.10500000000002</c:v>
                </c:pt>
                <c:pt idx="6">
                  <c:v>776.0675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A-4142-9254-44E2C6763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014922"/>
        <c:axId val="241367632"/>
      </c:scatterChart>
      <c:valAx>
        <c:axId val="1989014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pH Türü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1367632"/>
        <c:crosses val="autoZero"/>
        <c:crossBetween val="midCat"/>
      </c:valAx>
      <c:valAx>
        <c:axId val="241367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901492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'ENES UYSAL Tampon türü optimi'!$A$12:$A$18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'ENES UYSAL Tampon türü optimi'!$D$12:$D$18</c:f>
              <c:numCache>
                <c:formatCode>General</c:formatCode>
                <c:ptCount val="7"/>
                <c:pt idx="0">
                  <c:v>642.22500000000002</c:v>
                </c:pt>
                <c:pt idx="1">
                  <c:v>478.08199999999999</c:v>
                </c:pt>
                <c:pt idx="2">
                  <c:v>543.48800000000006</c:v>
                </c:pt>
                <c:pt idx="3">
                  <c:v>543.69949999999994</c:v>
                </c:pt>
                <c:pt idx="4">
                  <c:v>735.0335</c:v>
                </c:pt>
                <c:pt idx="5">
                  <c:v>724.41200000000003</c:v>
                </c:pt>
                <c:pt idx="6">
                  <c:v>708.19150000000002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2D-4476-ABC9-530475AC5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611574"/>
        <c:axId val="635331364"/>
      </c:scatterChart>
      <c:valAx>
        <c:axId val="542611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pH Türü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5331364"/>
        <c:crosses val="autoZero"/>
        <c:crossBetween val="midCat"/>
      </c:valAx>
      <c:valAx>
        <c:axId val="6353313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261157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tr-TR" sz="1400" b="0" i="0">
                <a:solidFill>
                  <a:srgbClr val="757575"/>
                </a:solidFill>
                <a:latin typeface="+mn-lt"/>
              </a:rPr>
              <a:t>Fluoksetin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'ENES UYSAL Tampon miktarı'!$E$3:$E$7</c:f>
              <c:numCache>
                <c:formatCode>General</c:formatCode>
                <c:ptCount val="5"/>
                <c:pt idx="0">
                  <c:v>858.17599999999993</c:v>
                </c:pt>
                <c:pt idx="1">
                  <c:v>849.20600000000002</c:v>
                </c:pt>
                <c:pt idx="2">
                  <c:v>928.90233333333333</c:v>
                </c:pt>
                <c:pt idx="3">
                  <c:v>865.1346666666667</c:v>
                </c:pt>
                <c:pt idx="4">
                  <c:v>902.18333333333339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FD-4989-A7A6-F80650BF5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505494"/>
        <c:axId val="1962872501"/>
      </c:scatterChart>
      <c:valAx>
        <c:axId val="1389505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r-TR" sz="1000" b="0" i="0">
                    <a:solidFill>
                      <a:srgbClr val="000000"/>
                    </a:solidFill>
                    <a:latin typeface="+mn-lt"/>
                  </a:rPr>
                  <a:t>Tampon Miktarı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872501"/>
        <c:crosses val="autoZero"/>
        <c:crossBetween val="midCat"/>
      </c:valAx>
      <c:valAx>
        <c:axId val="19628725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r-TR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950549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tr-TR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'ENES UYSAL Tampon miktarı'!$E$10:$E$14</c:f>
              <c:numCache>
                <c:formatCode>General</c:formatCode>
                <c:ptCount val="5"/>
                <c:pt idx="0">
                  <c:v>890.21233333333339</c:v>
                </c:pt>
                <c:pt idx="1">
                  <c:v>874.76566666666668</c:v>
                </c:pt>
                <c:pt idx="2">
                  <c:v>894.96933333333334</c:v>
                </c:pt>
                <c:pt idx="3">
                  <c:v>857.05166666666673</c:v>
                </c:pt>
                <c:pt idx="4">
                  <c:v>878.57266666666658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0-4E20-9900-6E45C0802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03439"/>
        <c:axId val="1370340724"/>
      </c:scatterChart>
      <c:valAx>
        <c:axId val="950503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r-TR" sz="1000" b="0" i="0">
                    <a:solidFill>
                      <a:srgbClr val="000000"/>
                    </a:solidFill>
                    <a:latin typeface="+mn-lt"/>
                  </a:rPr>
                  <a:t>Tampon Miktarı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340724"/>
        <c:crosses val="autoZero"/>
        <c:crossBetween val="midCat"/>
      </c:valAx>
      <c:valAx>
        <c:axId val="13703407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r-TR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050343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Fluoksetin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'Karıştırma Türü'!$E$3:$E$5</c:f>
                <c:numCache>
                  <c:formatCode>General</c:formatCode>
                  <c:ptCount val="3"/>
                  <c:pt idx="0">
                    <c:v>3.7759502115362666</c:v>
                  </c:pt>
                  <c:pt idx="1">
                    <c:v>35.785259982288757</c:v>
                  </c:pt>
                  <c:pt idx="2">
                    <c:v>20.455892072945694</c:v>
                  </c:pt>
                </c:numCache>
              </c:numRef>
            </c:plus>
            <c:minus>
              <c:numRef>
                <c:f>'Karıştırma Türü'!$E$3:$E$5</c:f>
                <c:numCache>
                  <c:formatCode>General</c:formatCode>
                  <c:ptCount val="3"/>
                  <c:pt idx="0">
                    <c:v>3.7759502115362666</c:v>
                  </c:pt>
                  <c:pt idx="1">
                    <c:v>35.785259982288757</c:v>
                  </c:pt>
                  <c:pt idx="2">
                    <c:v>20.455892072945694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'Karıştırma Türü'!$A$3:$A$5</c:f>
              <c:strCache>
                <c:ptCount val="3"/>
                <c:pt idx="0">
                  <c:v>Ultrasonikasyon</c:v>
                </c:pt>
                <c:pt idx="1">
                  <c:v>Vorteks</c:v>
                </c:pt>
                <c:pt idx="2">
                  <c:v>Çalkalama</c:v>
                </c:pt>
              </c:strCache>
            </c:strRef>
          </c:cat>
          <c:val>
            <c:numRef>
              <c:f>'Karıştırma Türü'!$D$3:$D$5</c:f>
              <c:numCache>
                <c:formatCode>General</c:formatCode>
                <c:ptCount val="3"/>
                <c:pt idx="0">
                  <c:v>1122.23</c:v>
                </c:pt>
                <c:pt idx="1">
                  <c:v>772.654</c:v>
                </c:pt>
                <c:pt idx="2">
                  <c:v>913.5335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8-4A68-AC4F-B3A373CB7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185248"/>
        <c:axId val="1239402912"/>
      </c:barChart>
      <c:catAx>
        <c:axId val="124318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Karıştırma Türü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02912"/>
        <c:crosses val="autoZero"/>
        <c:auto val="1"/>
        <c:lblAlgn val="ctr"/>
        <c:lblOffset val="100"/>
        <c:noMultiLvlLbl val="0"/>
      </c:catAx>
      <c:valAx>
        <c:axId val="1239402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Pik Alanı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8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Sitalopram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'Karıştırma Türü'!$E$8:$E$10</c:f>
                <c:numCache>
                  <c:formatCode>General</c:formatCode>
                  <c:ptCount val="3"/>
                  <c:pt idx="0">
                    <c:v>91.534972824598768</c:v>
                  </c:pt>
                  <c:pt idx="1">
                    <c:v>48.500454121585072</c:v>
                  </c:pt>
                  <c:pt idx="2">
                    <c:v>176.86154811037918</c:v>
                  </c:pt>
                </c:numCache>
              </c:numRef>
            </c:plus>
            <c:minus>
              <c:numRef>
                <c:f>'Karıştırma Türü'!$E$8:$E$10</c:f>
                <c:numCache>
                  <c:formatCode>General</c:formatCode>
                  <c:ptCount val="3"/>
                  <c:pt idx="0">
                    <c:v>91.534972824598768</c:v>
                  </c:pt>
                  <c:pt idx="1">
                    <c:v>48.500454121585072</c:v>
                  </c:pt>
                  <c:pt idx="2">
                    <c:v>176.86154811037918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'Karıştırma Türü'!$A$8:$A$10</c:f>
              <c:strCache>
                <c:ptCount val="3"/>
                <c:pt idx="0">
                  <c:v>Ultrasonikasyon</c:v>
                </c:pt>
                <c:pt idx="1">
                  <c:v>Vorteks</c:v>
                </c:pt>
                <c:pt idx="2">
                  <c:v>Çalkalama</c:v>
                </c:pt>
              </c:strCache>
            </c:strRef>
          </c:cat>
          <c:val>
            <c:numRef>
              <c:f>'Karıştırma Türü'!$D$8:$D$10</c:f>
              <c:numCache>
                <c:formatCode>General</c:formatCode>
                <c:ptCount val="3"/>
                <c:pt idx="0">
                  <c:v>4065.375</c:v>
                </c:pt>
                <c:pt idx="1">
                  <c:v>3027.5749999999998</c:v>
                </c:pt>
                <c:pt idx="2">
                  <c:v>3469.65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5-4A24-927B-67847F4CF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506367"/>
        <c:axId val="1406506847"/>
      </c:barChart>
      <c:catAx>
        <c:axId val="1406506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Karıştırma Türü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06847"/>
        <c:crosses val="autoZero"/>
        <c:auto val="1"/>
        <c:lblAlgn val="ctr"/>
        <c:lblOffset val="100"/>
        <c:noMultiLvlLbl val="0"/>
      </c:catAx>
      <c:valAx>
        <c:axId val="1406506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Pik</a:t>
                </a:r>
                <a:r>
                  <a:rPr lang="tr-TR" baseline="0"/>
                  <a:t> Alanı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0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Fluoksetin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'Karıştırma Periyodu'!$D$3:$D$7</c:f>
              <c:numCache>
                <c:formatCode>General</c:formatCode>
                <c:ptCount val="5"/>
                <c:pt idx="0">
                  <c:v>0</c:v>
                </c:pt>
                <c:pt idx="1">
                  <c:v>73.662100000000009</c:v>
                </c:pt>
                <c:pt idx="2">
                  <c:v>84.872399999999999</c:v>
                </c:pt>
                <c:pt idx="3">
                  <c:v>212.54000000000002</c:v>
                </c:pt>
                <c:pt idx="4">
                  <c:v>160.01350000000002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4B-4206-AF8F-E039867AC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105726"/>
        <c:axId val="958127934"/>
      </c:scatterChart>
      <c:valAx>
        <c:axId val="1242105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Karıştırma Süresi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8127934"/>
        <c:crosses val="autoZero"/>
        <c:crossBetween val="midCat"/>
      </c:valAx>
      <c:valAx>
        <c:axId val="9581279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210572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'Karıştırma Periyodu'!$D$10:$D$14</c:f>
              <c:numCache>
                <c:formatCode>General</c:formatCode>
                <c:ptCount val="5"/>
                <c:pt idx="0">
                  <c:v>0</c:v>
                </c:pt>
                <c:pt idx="1">
                  <c:v>397.61500000000001</c:v>
                </c:pt>
                <c:pt idx="2">
                  <c:v>414.21699999999998</c:v>
                </c:pt>
                <c:pt idx="3">
                  <c:v>838.91049999999996</c:v>
                </c:pt>
                <c:pt idx="4">
                  <c:v>706.37699999999995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7A-4A01-A574-5D17C1C2F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753917"/>
        <c:axId val="1157041886"/>
      </c:scatterChart>
      <c:valAx>
        <c:axId val="1945753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Karıştırma Süresi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7041886"/>
        <c:crosses val="autoZero"/>
        <c:crossBetween val="midCat"/>
      </c:valAx>
      <c:valAx>
        <c:axId val="11570418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575391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Fluoksetin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'Elüent Türü'!$A$3:$A$5</c:f>
              <c:strCache>
                <c:ptCount val="3"/>
                <c:pt idx="0">
                  <c:v>Metanol</c:v>
                </c:pt>
                <c:pt idx="1">
                  <c:v>Etanol</c:v>
                </c:pt>
                <c:pt idx="2">
                  <c:v>ACN</c:v>
                </c:pt>
              </c:strCache>
            </c:strRef>
          </c:cat>
          <c:val>
            <c:numRef>
              <c:f>'Elüent Türü'!$E$3:$E$5</c:f>
              <c:numCache>
                <c:formatCode>General</c:formatCode>
                <c:ptCount val="3"/>
                <c:pt idx="0">
                  <c:v>950.01433333333341</c:v>
                </c:pt>
                <c:pt idx="1">
                  <c:v>909.83333333333337</c:v>
                </c:pt>
                <c:pt idx="2">
                  <c:v>909.83333333333337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F1-4009-95D8-1B626B26F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5203845"/>
        <c:axId val="618240235"/>
      </c:barChart>
      <c:catAx>
        <c:axId val="985203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Eluent Türü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8240235"/>
        <c:crosses val="autoZero"/>
        <c:auto val="1"/>
        <c:lblAlgn val="ctr"/>
        <c:lblOffset val="100"/>
        <c:noMultiLvlLbl val="1"/>
      </c:catAx>
      <c:valAx>
        <c:axId val="6182402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52038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081714785651792"/>
          <c:y val="0.16245370370370371"/>
          <c:w val="0.81862729658792655"/>
          <c:h val="0.6227161708953047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'Elüent Türü'!$A$8:$A$10</c:f>
              <c:strCache>
                <c:ptCount val="3"/>
                <c:pt idx="0">
                  <c:v>Metanol</c:v>
                </c:pt>
                <c:pt idx="1">
                  <c:v>Etanol</c:v>
                </c:pt>
                <c:pt idx="2">
                  <c:v>ACN</c:v>
                </c:pt>
              </c:strCache>
            </c:strRef>
          </c:cat>
          <c:val>
            <c:numRef>
              <c:f>'Elüent Türü'!$E$8:$E$10</c:f>
              <c:numCache>
                <c:formatCode>General</c:formatCode>
                <c:ptCount val="3"/>
                <c:pt idx="0">
                  <c:v>998.67366666666669</c:v>
                </c:pt>
                <c:pt idx="1">
                  <c:v>998.67366666666669</c:v>
                </c:pt>
                <c:pt idx="2">
                  <c:v>998.67366666666669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6D-4C62-B098-245AC02B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8639901"/>
        <c:axId val="1305153382"/>
      </c:barChart>
      <c:catAx>
        <c:axId val="918639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Eluent Türü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5153382"/>
        <c:crosses val="autoZero"/>
        <c:auto val="1"/>
        <c:lblAlgn val="ctr"/>
        <c:lblOffset val="100"/>
        <c:noMultiLvlLbl val="1"/>
      </c:catAx>
      <c:valAx>
        <c:axId val="13051533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86399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Fluoksetin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'Elüent Miktarı'!$E$3:$E$7</c:f>
              <c:numCache>
                <c:formatCode>General</c:formatCode>
                <c:ptCount val="5"/>
                <c:pt idx="0">
                  <c:v>1298.2436666666665</c:v>
                </c:pt>
                <c:pt idx="1">
                  <c:v>924.19</c:v>
                </c:pt>
                <c:pt idx="2">
                  <c:v>754.28166666666664</c:v>
                </c:pt>
                <c:pt idx="3">
                  <c:v>614.83100000000002</c:v>
                </c:pt>
                <c:pt idx="4">
                  <c:v>453.92366666666663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5D-4C00-B172-7049DF2C0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444003"/>
        <c:axId val="1081763592"/>
      </c:scatterChart>
      <c:valAx>
        <c:axId val="1707444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Eluent Miktarı (µL)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1763592"/>
        <c:crosses val="autoZero"/>
        <c:crossBetween val="midCat"/>
      </c:valAx>
      <c:valAx>
        <c:axId val="1081763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744400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'Elüent Miktarı'!$E$10:$E$14</c:f>
              <c:numCache>
                <c:formatCode>General</c:formatCode>
                <c:ptCount val="5"/>
                <c:pt idx="0">
                  <c:v>1241.8816666666667</c:v>
                </c:pt>
                <c:pt idx="1">
                  <c:v>1241.8816666666667</c:v>
                </c:pt>
                <c:pt idx="2">
                  <c:v>1241.8816666666667</c:v>
                </c:pt>
                <c:pt idx="3">
                  <c:v>1241.8816666666667</c:v>
                </c:pt>
                <c:pt idx="4">
                  <c:v>1241.8816666666667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4C-4F65-BE9B-BAE8B015F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16562"/>
        <c:axId val="1466002164"/>
      </c:scatterChart>
      <c:valAx>
        <c:axId val="37716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Eluent Miktarı (µL)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6002164"/>
        <c:crosses val="autoZero"/>
        <c:crossBetween val="midCat"/>
      </c:valAx>
      <c:valAx>
        <c:axId val="14660021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71656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600" b="0" i="0">
                <a:solidFill>
                  <a:srgbClr val="757575"/>
                </a:solidFill>
                <a:latin typeface="+mn-lt"/>
              </a:defRPr>
            </a:pPr>
            <a:r>
              <a:rPr lang="en-US" sz="1600" b="0" i="0">
                <a:solidFill>
                  <a:srgbClr val="757575"/>
                </a:solidFill>
                <a:latin typeface="+mn-lt"/>
              </a:rPr>
              <a:t>FLUOKSETİN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'Standart Miktarı'!$D$32:$D$37</c:f>
              <c:numCache>
                <c:formatCode>General</c:formatCode>
                <c:ptCount val="6"/>
                <c:pt idx="0">
                  <c:v>1261.1799999999998</c:v>
                </c:pt>
                <c:pt idx="1">
                  <c:v>731.72499999999991</c:v>
                </c:pt>
                <c:pt idx="2">
                  <c:v>867.51850000000002</c:v>
                </c:pt>
                <c:pt idx="3">
                  <c:v>801.85450000000003</c:v>
                </c:pt>
                <c:pt idx="4">
                  <c:v>916.4905</c:v>
                </c:pt>
                <c:pt idx="5">
                  <c:v>1046.5350000000001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17-4EC9-ACF4-3F88251DC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767468"/>
        <c:axId val="1613470823"/>
      </c:scatterChart>
      <c:valAx>
        <c:axId val="1370767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3470823"/>
        <c:crosses val="autoZero"/>
        <c:crossBetween val="midCat"/>
      </c:valAx>
      <c:valAx>
        <c:axId val="1613470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767468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600" b="0" i="0">
                <a:solidFill>
                  <a:srgbClr val="757575"/>
                </a:solidFill>
                <a:latin typeface="+mn-lt"/>
              </a:defRPr>
            </a:pPr>
            <a:r>
              <a:rPr lang="en-US" sz="1600" b="0" i="0">
                <a:solidFill>
                  <a:srgbClr val="757575"/>
                </a:solidFill>
                <a:latin typeface="+mn-lt"/>
              </a:rPr>
              <a:t>CİTALOPRAM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'Standart Miktarı'!$D$40:$D$45</c:f>
              <c:numCache>
                <c:formatCode>General</c:formatCode>
                <c:ptCount val="6"/>
                <c:pt idx="0">
                  <c:v>3323.1</c:v>
                </c:pt>
                <c:pt idx="1">
                  <c:v>2890.9049999999997</c:v>
                </c:pt>
                <c:pt idx="2">
                  <c:v>3709.915</c:v>
                </c:pt>
                <c:pt idx="3">
                  <c:v>3627.55</c:v>
                </c:pt>
                <c:pt idx="4">
                  <c:v>4169.95</c:v>
                </c:pt>
                <c:pt idx="5">
                  <c:v>4885.1900000000005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8-4558-9D6F-36002D33A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787517"/>
        <c:axId val="1755873243"/>
      </c:scatterChart>
      <c:valAx>
        <c:axId val="1901787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5873243"/>
        <c:crosses val="autoZero"/>
        <c:crossBetween val="midCat"/>
      </c:valAx>
      <c:valAx>
        <c:axId val="17558732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1787517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Fluoksetin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'Standart Miktarı'!$A$3:$A$7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'Standart Miktarı'!$D$3:$D$7</c:f>
              <c:numCache>
                <c:formatCode>General</c:formatCode>
                <c:ptCount val="5"/>
                <c:pt idx="0">
                  <c:v>1436.92</c:v>
                </c:pt>
                <c:pt idx="1">
                  <c:v>1851.0650000000001</c:v>
                </c:pt>
                <c:pt idx="2">
                  <c:v>1527.9349999999999</c:v>
                </c:pt>
                <c:pt idx="3">
                  <c:v>1329.69</c:v>
                </c:pt>
                <c:pt idx="4">
                  <c:v>1038.7114999999999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E9-4DD9-93BA-87652276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09642"/>
        <c:axId val="2117349728"/>
      </c:scatterChart>
      <c:valAx>
        <c:axId val="73609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Analit Hacmi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7349728"/>
        <c:crosses val="autoZero"/>
        <c:crossBetween val="midCat"/>
      </c:valAx>
      <c:valAx>
        <c:axId val="2117349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60964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'Standart Miktarı'!$A$10:$A$14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'Standart Miktarı'!$D$10:$D$14</c:f>
              <c:numCache>
                <c:formatCode>General</c:formatCode>
                <c:ptCount val="5"/>
                <c:pt idx="0">
                  <c:v>4169.7649999999994</c:v>
                </c:pt>
                <c:pt idx="1">
                  <c:v>6153.4050000000007</c:v>
                </c:pt>
                <c:pt idx="2">
                  <c:v>6532.5650000000005</c:v>
                </c:pt>
                <c:pt idx="3">
                  <c:v>6406.0149999999994</c:v>
                </c:pt>
                <c:pt idx="4">
                  <c:v>6063.25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8B-4220-AAFF-683047490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659426"/>
        <c:axId val="1086406900"/>
      </c:scatterChart>
      <c:valAx>
        <c:axId val="863659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Analit Hacmi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6406900"/>
        <c:crosses val="autoZero"/>
        <c:crossBetween val="midCat"/>
      </c:valAx>
      <c:valAx>
        <c:axId val="10864069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365942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tr-TR" sz="1400" b="0" i="0">
                <a:solidFill>
                  <a:srgbClr val="757575"/>
                </a:solidFill>
                <a:latin typeface="+mn-lt"/>
              </a:rPr>
              <a:t>Calibration Plot</a:t>
            </a:r>
            <a:endParaRPr lang="en-US" sz="1400" b="0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556485241015019"/>
          <c:y val="0.13324503311258279"/>
          <c:w val="0.80243091742968453"/>
          <c:h val="0.6212438511411240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'LOD-LOQ'!$A$4:$A$12</c:f>
              <c:numCache>
                <c:formatCode>General</c:formatCode>
                <c:ptCount val="9"/>
                <c:pt idx="0">
                  <c:v>0.04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2</c:v>
                </c:pt>
              </c:numCache>
            </c:numRef>
          </c:xVal>
          <c:yVal>
            <c:numRef>
              <c:f>'LOD-LOQ'!$H$4:$H$12</c:f>
              <c:numCache>
                <c:formatCode>General</c:formatCode>
                <c:ptCount val="9"/>
                <c:pt idx="0">
                  <c:v>38.413975000000001</c:v>
                </c:pt>
                <c:pt idx="1">
                  <c:v>82.641233333333332</c:v>
                </c:pt>
                <c:pt idx="2">
                  <c:v>130.18</c:v>
                </c:pt>
                <c:pt idx="3">
                  <c:v>164.35166666666666</c:v>
                </c:pt>
                <c:pt idx="4">
                  <c:v>381.6903333333334</c:v>
                </c:pt>
                <c:pt idx="5">
                  <c:v>757.02766666666651</c:v>
                </c:pt>
                <c:pt idx="6">
                  <c:v>1055.7033333333334</c:v>
                </c:pt>
                <c:pt idx="7">
                  <c:v>1441.9533333333331</c:v>
                </c:pt>
                <c:pt idx="8">
                  <c:v>3068.56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B3-4759-B2AC-72AC28F61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313447"/>
        <c:axId val="1857805781"/>
      </c:scatterChart>
      <c:valAx>
        <c:axId val="1419313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LOD-LOQ
Konsantrasyon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7805781"/>
        <c:crosses val="autoZero"/>
        <c:crossBetween val="midCat"/>
      </c:valAx>
      <c:valAx>
        <c:axId val="18578057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931344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Stalopram
</a:t>
            </a:r>
          </a:p>
        </c:rich>
      </c:tx>
      <c:layout>
        <c:manualLayout>
          <c:xMode val="edge"/>
          <c:yMode val="edge"/>
          <c:x val="0.41228402652320811"/>
          <c:y val="4.61653923415221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46711862958206"/>
          <c:y val="0.12039502954878735"/>
          <c:w val="0.81987678318452872"/>
          <c:h val="0.74809991854466462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'LOD-LOQ'!$A$26:$A$35</c:f>
              <c:numCache>
                <c:formatCode>General</c:formatCode>
                <c:ptCount val="10"/>
                <c:pt idx="0">
                  <c:v>0.04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0.25</c:v>
                </c:pt>
                <c:pt idx="6">
                  <c:v>0.75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</c:numCache>
            </c:numRef>
          </c:xVal>
          <c:yVal>
            <c:numRef>
              <c:f>'LOD-LOQ'!$H$26:$H$35</c:f>
              <c:numCache>
                <c:formatCode>General</c:formatCode>
                <c:ptCount val="10"/>
                <c:pt idx="0">
                  <c:v>47.43848333333333</c:v>
                </c:pt>
                <c:pt idx="1">
                  <c:v>78.195866666666674</c:v>
                </c:pt>
                <c:pt idx="2">
                  <c:v>111.08833333333332</c:v>
                </c:pt>
                <c:pt idx="3">
                  <c:v>159.30766666666668</c:v>
                </c:pt>
                <c:pt idx="4">
                  <c:v>415.25800000000004</c:v>
                </c:pt>
                <c:pt idx="6">
                  <c:v>1082.6766666666665</c:v>
                </c:pt>
                <c:pt idx="7">
                  <c:v>1489.2649999999999</c:v>
                </c:pt>
                <c:pt idx="8">
                  <c:v>3205.8325</c:v>
                </c:pt>
                <c:pt idx="9">
                  <c:v>7800.003333333334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73-4466-B5D2-BDB3CABFC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392421"/>
        <c:axId val="713878173"/>
      </c:scatterChart>
      <c:valAx>
        <c:axId val="1610392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LOD-LOQ
Konsantrasyon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878173"/>
        <c:crosses val="autoZero"/>
        <c:crossBetween val="midCat"/>
      </c:valAx>
      <c:valAx>
        <c:axId val="71387817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039242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tr-TR" sz="1400" b="0" i="0">
                <a:solidFill>
                  <a:srgbClr val="757575"/>
                </a:solidFill>
                <a:latin typeface="+mn-lt"/>
              </a:rPr>
              <a:t>Calibration Curve</a:t>
            </a:r>
            <a:endParaRPr lang="en-US" sz="1400" b="0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783212149637825"/>
          <c:y val="0.12251449622528543"/>
          <c:w val="0.81922677584548675"/>
          <c:h val="0.69049889278853427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'LOD-LOQ'!$A$4:$A$17</c:f>
              <c:numCache>
                <c:formatCode>General</c:formatCode>
                <c:ptCount val="14"/>
                <c:pt idx="0">
                  <c:v>0.04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1">
                  <c:v>10</c:v>
                </c:pt>
                <c:pt idx="13">
                  <c:v>20</c:v>
                </c:pt>
              </c:numCache>
            </c:numRef>
          </c:xVal>
          <c:yVal>
            <c:numRef>
              <c:f>'LOD-LOQ'!$H$4:$H$17</c:f>
              <c:numCache>
                <c:formatCode>General</c:formatCode>
                <c:ptCount val="14"/>
                <c:pt idx="0">
                  <c:v>38.413975000000001</c:v>
                </c:pt>
                <c:pt idx="1">
                  <c:v>82.641233333333332</c:v>
                </c:pt>
                <c:pt idx="2">
                  <c:v>130.18</c:v>
                </c:pt>
                <c:pt idx="3">
                  <c:v>164.35166666666666</c:v>
                </c:pt>
                <c:pt idx="4">
                  <c:v>381.6903333333334</c:v>
                </c:pt>
                <c:pt idx="5">
                  <c:v>757.02766666666651</c:v>
                </c:pt>
                <c:pt idx="6">
                  <c:v>1055.7033333333334</c:v>
                </c:pt>
                <c:pt idx="7">
                  <c:v>1441.9533333333331</c:v>
                </c:pt>
                <c:pt idx="8">
                  <c:v>3068.56</c:v>
                </c:pt>
                <c:pt idx="9">
                  <c:v>5919.7900000000009</c:v>
                </c:pt>
                <c:pt idx="11">
                  <c:v>9992.5400000000009</c:v>
                </c:pt>
                <c:pt idx="13">
                  <c:v>15300.98595141803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67-4B02-BE45-F2614E96F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733607"/>
        <c:axId val="515716713"/>
      </c:scatterChart>
      <c:valAx>
        <c:axId val="1083733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LOD-LOQ
Konsantrasyon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5716713"/>
        <c:crosses val="autoZero"/>
        <c:crossBetween val="midCat"/>
      </c:valAx>
      <c:valAx>
        <c:axId val="5157167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373360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Sitalopram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965350695926949E-2"/>
          <c:y val="0.11367676994380632"/>
          <c:w val="0.86885561970344327"/>
          <c:h val="0.74653890660652722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'LOD-LOQ'!$A$27:$A$39</c:f>
              <c:numCache>
                <c:formatCode>General</c:formatCode>
                <c:ptCount val="13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0.25</c:v>
                </c:pt>
                <c:pt idx="5">
                  <c:v>0.75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10">
                  <c:v>10</c:v>
                </c:pt>
                <c:pt idx="12">
                  <c:v>20</c:v>
                </c:pt>
              </c:numCache>
            </c:numRef>
          </c:xVal>
          <c:yVal>
            <c:numRef>
              <c:f>'LOD-LOQ'!$H$27:$H$39</c:f>
              <c:numCache>
                <c:formatCode>General</c:formatCode>
                <c:ptCount val="13"/>
                <c:pt idx="0">
                  <c:v>78.195866666666674</c:v>
                </c:pt>
                <c:pt idx="1">
                  <c:v>111.08833333333332</c:v>
                </c:pt>
                <c:pt idx="2">
                  <c:v>159.30766666666668</c:v>
                </c:pt>
                <c:pt idx="3">
                  <c:v>415.25800000000004</c:v>
                </c:pt>
                <c:pt idx="5">
                  <c:v>1082.6766666666665</c:v>
                </c:pt>
                <c:pt idx="6">
                  <c:v>1489.2649999999999</c:v>
                </c:pt>
                <c:pt idx="7">
                  <c:v>3205.8325</c:v>
                </c:pt>
                <c:pt idx="8">
                  <c:v>7800.003333333334</c:v>
                </c:pt>
                <c:pt idx="10">
                  <c:v>15880.9</c:v>
                </c:pt>
                <c:pt idx="12">
                  <c:v>19072.760942996389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EE-4A39-A337-004999588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68272"/>
        <c:axId val="1341197091"/>
      </c:scatterChart>
      <c:valAx>
        <c:axId val="20726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LOD-LOQ
Konsantrasyon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1197091"/>
        <c:crosses val="autoZero"/>
        <c:crossBetween val="midCat"/>
      </c:valAx>
      <c:valAx>
        <c:axId val="13411970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Pik Alanı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2682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Fluoksetin</a:t>
            </a:r>
          </a:p>
          <a:p>
            <a:pPr>
              <a:defRPr/>
            </a:pPr>
            <a:r>
              <a:rPr lang="tr-TR"/>
              <a:t>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Recovery!$F$16:$F$20</c:f>
                <c:numCache>
                  <c:formatCode>General</c:formatCode>
                  <c:ptCount val="5"/>
                  <c:pt idx="0">
                    <c:v>11.784794397867115</c:v>
                  </c:pt>
                  <c:pt idx="1">
                    <c:v>20.540367596515875</c:v>
                  </c:pt>
                  <c:pt idx="2">
                    <c:v>46.814711555236578</c:v>
                  </c:pt>
                  <c:pt idx="3">
                    <c:v>153.42833582273303</c:v>
                  </c:pt>
                  <c:pt idx="4">
                    <c:v>24.791163748400319</c:v>
                  </c:pt>
                </c:numCache>
              </c:numRef>
            </c:plus>
            <c:minus>
              <c:numRef>
                <c:f>Recovery!$F$16:$F$20</c:f>
                <c:numCache>
                  <c:formatCode>General</c:formatCode>
                  <c:ptCount val="5"/>
                  <c:pt idx="0">
                    <c:v>11.784794397867115</c:v>
                  </c:pt>
                  <c:pt idx="1">
                    <c:v>20.540367596515875</c:v>
                  </c:pt>
                  <c:pt idx="2">
                    <c:v>46.814711555236578</c:v>
                  </c:pt>
                  <c:pt idx="3">
                    <c:v>153.42833582273303</c:v>
                  </c:pt>
                  <c:pt idx="4">
                    <c:v>24.791163748400319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Recovery!$E$16:$E$20</c:f>
              <c:numCache>
                <c:formatCode>General</c:formatCode>
                <c:ptCount val="5"/>
                <c:pt idx="0">
                  <c:v>121.315</c:v>
                </c:pt>
                <c:pt idx="1">
                  <c:v>258.77</c:v>
                </c:pt>
                <c:pt idx="2">
                  <c:v>873.62400000000002</c:v>
                </c:pt>
                <c:pt idx="3">
                  <c:v>1431.3233333333335</c:v>
                </c:pt>
                <c:pt idx="4">
                  <c:v>2120.83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5-4C14-AE91-F57185E4E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55696"/>
        <c:axId val="616155072"/>
      </c:scatterChart>
      <c:valAx>
        <c:axId val="35585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Konsantrasyon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55072"/>
        <c:crosses val="autoZero"/>
        <c:crossBetween val="midCat"/>
      </c:valAx>
      <c:valAx>
        <c:axId val="616155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Pik Alanı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5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Sitalopram</a:t>
            </a:r>
          </a:p>
          <a:p>
            <a:pPr>
              <a:defRPr/>
            </a:pPr>
            <a:r>
              <a:rPr lang="tr-TR"/>
              <a:t>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Recovery!$F$36:$F$40</c:f>
                <c:numCache>
                  <c:formatCode>General</c:formatCode>
                  <c:ptCount val="5"/>
                  <c:pt idx="0">
                    <c:v>13.092371264722575</c:v>
                  </c:pt>
                  <c:pt idx="1">
                    <c:v>18.272000328371266</c:v>
                  </c:pt>
                  <c:pt idx="2">
                    <c:v>98.372695398672562</c:v>
                  </c:pt>
                  <c:pt idx="3">
                    <c:v>94.001315061723105</c:v>
                  </c:pt>
                  <c:pt idx="4">
                    <c:v>433.94436054637237</c:v>
                  </c:pt>
                </c:numCache>
              </c:numRef>
            </c:plus>
            <c:minus>
              <c:numRef>
                <c:f>Recovery!$F$36:$F$40</c:f>
                <c:numCache>
                  <c:formatCode>General</c:formatCode>
                  <c:ptCount val="5"/>
                  <c:pt idx="0">
                    <c:v>13.092371264722575</c:v>
                  </c:pt>
                  <c:pt idx="1">
                    <c:v>18.272000328371266</c:v>
                  </c:pt>
                  <c:pt idx="2">
                    <c:v>98.372695398672562</c:v>
                  </c:pt>
                  <c:pt idx="3">
                    <c:v>94.001315061723105</c:v>
                  </c:pt>
                  <c:pt idx="4">
                    <c:v>433.94436054637237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Recovery!$E$36:$E$40</c:f>
              <c:numCache>
                <c:formatCode>General</c:formatCode>
                <c:ptCount val="5"/>
                <c:pt idx="0">
                  <c:v>137.36633333333336</c:v>
                </c:pt>
                <c:pt idx="1">
                  <c:v>335.92399999999998</c:v>
                </c:pt>
                <c:pt idx="2">
                  <c:v>1469.92</c:v>
                </c:pt>
                <c:pt idx="3">
                  <c:v>1998.3633333333335</c:v>
                </c:pt>
                <c:pt idx="4">
                  <c:v>4092.7749999999996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D-46ED-9675-456E8A6F8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263775"/>
        <c:axId val="616127328"/>
      </c:scatterChart>
      <c:valAx>
        <c:axId val="55626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Konsantrasyon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27328"/>
        <c:crosses val="autoZero"/>
        <c:crossBetween val="midCat"/>
      </c:valAx>
      <c:valAx>
        <c:axId val="616127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Pik Alanı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6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466725</xdr:colOff>
      <xdr:row>0</xdr:row>
      <xdr:rowOff>28575</xdr:rowOff>
    </xdr:from>
    <xdr:ext cx="1733550" cy="1009650"/>
    <xdr:pic>
      <xdr:nvPicPr>
        <xdr:cNvPr id="2" name="image1.png" descr="Fluoxetine - Wikip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6</xdr:row>
      <xdr:rowOff>38100</xdr:rowOff>
    </xdr:from>
    <xdr:ext cx="1819275" cy="1476375"/>
    <xdr:pic>
      <xdr:nvPicPr>
        <xdr:cNvPr id="3" name="image2.png" descr="Citalopram - Wikipedi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561975</xdr:colOff>
      <xdr:row>0</xdr:row>
      <xdr:rowOff>180975</xdr:rowOff>
    </xdr:from>
    <xdr:ext cx="2990850" cy="1895475"/>
    <xdr:graphicFrame macro="">
      <xdr:nvGraphicFramePr>
        <xdr:cNvPr id="652867773" name="Chart 1">
          <a:extLst>
            <a:ext uri="{FF2B5EF4-FFF2-40B4-BE49-F238E27FC236}">
              <a16:creationId xmlns:a16="http://schemas.microsoft.com/office/drawing/2014/main" id="{00000000-0008-0000-0200-0000BDF8E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561975</xdr:colOff>
      <xdr:row>10</xdr:row>
      <xdr:rowOff>47625</xdr:rowOff>
    </xdr:from>
    <xdr:ext cx="2990850" cy="1828800"/>
    <xdr:graphicFrame macro="">
      <xdr:nvGraphicFramePr>
        <xdr:cNvPr id="1414693158" name="Chart 2">
          <a:extLst>
            <a:ext uri="{FF2B5EF4-FFF2-40B4-BE49-F238E27FC236}">
              <a16:creationId xmlns:a16="http://schemas.microsoft.com/office/drawing/2014/main" id="{00000000-0008-0000-0200-000026815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0</xdr:row>
      <xdr:rowOff>0</xdr:rowOff>
    </xdr:from>
    <xdr:ext cx="2990850" cy="1876425"/>
    <xdr:graphicFrame macro="">
      <xdr:nvGraphicFramePr>
        <xdr:cNvPr id="1186813326" name="Chart 3">
          <a:extLst>
            <a:ext uri="{FF2B5EF4-FFF2-40B4-BE49-F238E27FC236}">
              <a16:creationId xmlns:a16="http://schemas.microsoft.com/office/drawing/2014/main" id="{00000000-0008-0000-0300-00008E55B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19050</xdr:colOff>
      <xdr:row>9</xdr:row>
      <xdr:rowOff>85725</xdr:rowOff>
    </xdr:from>
    <xdr:ext cx="2990850" cy="1876425"/>
    <xdr:graphicFrame macro="">
      <xdr:nvGraphicFramePr>
        <xdr:cNvPr id="258566494" name="Chart 4">
          <a:extLst>
            <a:ext uri="{FF2B5EF4-FFF2-40B4-BE49-F238E27FC236}">
              <a16:creationId xmlns:a16="http://schemas.microsoft.com/office/drawing/2014/main" id="{00000000-0008-0000-0300-00005E696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990850" cy="1790700"/>
    <xdr:graphicFrame macro="">
      <xdr:nvGraphicFramePr>
        <xdr:cNvPr id="1526670051" name="Chart 5">
          <a:extLst>
            <a:ext uri="{FF2B5EF4-FFF2-40B4-BE49-F238E27FC236}">
              <a16:creationId xmlns:a16="http://schemas.microsoft.com/office/drawing/2014/main" id="{00000000-0008-0000-0400-0000E322F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9</xdr:row>
      <xdr:rowOff>76200</xdr:rowOff>
    </xdr:from>
    <xdr:ext cx="2990850" cy="1819275"/>
    <xdr:graphicFrame macro="">
      <xdr:nvGraphicFramePr>
        <xdr:cNvPr id="974547934" name="Chart 6">
          <a:extLst>
            <a:ext uri="{FF2B5EF4-FFF2-40B4-BE49-F238E27FC236}">
              <a16:creationId xmlns:a16="http://schemas.microsoft.com/office/drawing/2014/main" id="{00000000-0008-0000-0400-0000DE6B1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11</xdr:col>
      <xdr:colOff>723900</xdr:colOff>
      <xdr:row>14</xdr:row>
      <xdr:rowOff>76200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56EF6FF-3F4E-C6EE-4920-2319FEF8D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762000</xdr:colOff>
      <xdr:row>0</xdr:row>
      <xdr:rowOff>0</xdr:rowOff>
    </xdr:from>
    <xdr:to>
      <xdr:col>16</xdr:col>
      <xdr:colOff>523875</xdr:colOff>
      <xdr:row>14</xdr:row>
      <xdr:rowOff>57150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627C5BE5-81B5-BB6A-6CE3-F3E2642F8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0</xdr:row>
      <xdr:rowOff>0</xdr:rowOff>
    </xdr:from>
    <xdr:ext cx="2990850" cy="1876425"/>
    <xdr:graphicFrame macro="">
      <xdr:nvGraphicFramePr>
        <xdr:cNvPr id="309220527" name="Chart 9">
          <a:extLst>
            <a:ext uri="{FF2B5EF4-FFF2-40B4-BE49-F238E27FC236}">
              <a16:creationId xmlns:a16="http://schemas.microsoft.com/office/drawing/2014/main" id="{00000000-0008-0000-0600-0000AF546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9</xdr:row>
      <xdr:rowOff>95250</xdr:rowOff>
    </xdr:from>
    <xdr:ext cx="2990850" cy="1876425"/>
    <xdr:graphicFrame macro="">
      <xdr:nvGraphicFramePr>
        <xdr:cNvPr id="1184766660" name="Chart 10">
          <a:extLst>
            <a:ext uri="{FF2B5EF4-FFF2-40B4-BE49-F238E27FC236}">
              <a16:creationId xmlns:a16="http://schemas.microsoft.com/office/drawing/2014/main" id="{00000000-0008-0000-0600-0000C41A9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990850" cy="1790700"/>
    <xdr:graphicFrame macro="">
      <xdr:nvGraphicFramePr>
        <xdr:cNvPr id="82256184" name="Chart 11">
          <a:extLst>
            <a:ext uri="{FF2B5EF4-FFF2-40B4-BE49-F238E27FC236}">
              <a16:creationId xmlns:a16="http://schemas.microsoft.com/office/drawing/2014/main" id="{00000000-0008-0000-0700-00003821E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9</xdr:row>
      <xdr:rowOff>85725</xdr:rowOff>
    </xdr:from>
    <xdr:ext cx="2990850" cy="1800225"/>
    <xdr:graphicFrame macro="">
      <xdr:nvGraphicFramePr>
        <xdr:cNvPr id="2034268523" name="Chart 12">
          <a:extLst>
            <a:ext uri="{FF2B5EF4-FFF2-40B4-BE49-F238E27FC236}">
              <a16:creationId xmlns:a16="http://schemas.microsoft.com/office/drawing/2014/main" id="{00000000-0008-0000-0700-00006B79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4895850" cy="1790700"/>
    <xdr:graphicFrame macro="">
      <xdr:nvGraphicFramePr>
        <xdr:cNvPr id="325370585" name="Chart 13">
          <a:extLst>
            <a:ext uri="{FF2B5EF4-FFF2-40B4-BE49-F238E27FC236}">
              <a16:creationId xmlns:a16="http://schemas.microsoft.com/office/drawing/2014/main" id="{00000000-0008-0000-0800-0000D9C26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9</xdr:row>
      <xdr:rowOff>104775</xdr:rowOff>
    </xdr:from>
    <xdr:ext cx="4895850" cy="1838325"/>
    <xdr:graphicFrame macro="">
      <xdr:nvGraphicFramePr>
        <xdr:cNvPr id="1797875923" name="Chart 14">
          <a:extLst>
            <a:ext uri="{FF2B5EF4-FFF2-40B4-BE49-F238E27FC236}">
              <a16:creationId xmlns:a16="http://schemas.microsoft.com/office/drawing/2014/main" id="{00000000-0008-0000-0800-0000D3682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29</xdr:row>
      <xdr:rowOff>57150</xdr:rowOff>
    </xdr:from>
    <xdr:ext cx="4676775" cy="2886075"/>
    <xdr:graphicFrame macro="">
      <xdr:nvGraphicFramePr>
        <xdr:cNvPr id="2086791920" name="Chart 15" title="Chart">
          <a:extLst>
            <a:ext uri="{FF2B5EF4-FFF2-40B4-BE49-F238E27FC236}">
              <a16:creationId xmlns:a16="http://schemas.microsoft.com/office/drawing/2014/main" id="{00000000-0008-0000-0900-0000F0EA6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419100</xdr:colOff>
      <xdr:row>29</xdr:row>
      <xdr:rowOff>76200</xdr:rowOff>
    </xdr:from>
    <xdr:ext cx="4648200" cy="2876550"/>
    <xdr:graphicFrame macro="">
      <xdr:nvGraphicFramePr>
        <xdr:cNvPr id="665621966" name="Chart 16" title="Chart">
          <a:extLst>
            <a:ext uri="{FF2B5EF4-FFF2-40B4-BE49-F238E27FC236}">
              <a16:creationId xmlns:a16="http://schemas.microsoft.com/office/drawing/2014/main" id="{00000000-0008-0000-0900-0000CE95A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9525</xdr:colOff>
      <xdr:row>0</xdr:row>
      <xdr:rowOff>0</xdr:rowOff>
    </xdr:from>
    <xdr:ext cx="2990850" cy="1876425"/>
    <xdr:graphicFrame macro="">
      <xdr:nvGraphicFramePr>
        <xdr:cNvPr id="220494317" name="Chart 17">
          <a:extLst>
            <a:ext uri="{FF2B5EF4-FFF2-40B4-BE49-F238E27FC236}">
              <a16:creationId xmlns:a16="http://schemas.microsoft.com/office/drawing/2014/main" id="{00000000-0008-0000-0900-0000ED792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1543050</xdr:colOff>
      <xdr:row>0</xdr:row>
      <xdr:rowOff>0</xdr:rowOff>
    </xdr:from>
    <xdr:ext cx="3000375" cy="1876425"/>
    <xdr:graphicFrame macro="">
      <xdr:nvGraphicFramePr>
        <xdr:cNvPr id="833979238" name="Chart 18">
          <a:extLst>
            <a:ext uri="{FF2B5EF4-FFF2-40B4-BE49-F238E27FC236}">
              <a16:creationId xmlns:a16="http://schemas.microsoft.com/office/drawing/2014/main" id="{00000000-0008-0000-0900-00006683B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133402</xdr:colOff>
      <xdr:row>0</xdr:row>
      <xdr:rowOff>31230</xdr:rowOff>
    </xdr:from>
    <xdr:ext cx="6221304" cy="3757808"/>
    <xdr:graphicFrame macro="">
      <xdr:nvGraphicFramePr>
        <xdr:cNvPr id="1491002742" name="Chart 19">
          <a:extLst>
            <a:ext uri="{FF2B5EF4-FFF2-40B4-BE49-F238E27FC236}">
              <a16:creationId xmlns:a16="http://schemas.microsoft.com/office/drawing/2014/main" id="{00000000-0008-0000-0A00-000076E5D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161843</xdr:colOff>
      <xdr:row>20</xdr:row>
      <xdr:rowOff>116079</xdr:rowOff>
    </xdr:from>
    <xdr:ext cx="6365124" cy="4131134"/>
    <xdr:graphicFrame macro="">
      <xdr:nvGraphicFramePr>
        <xdr:cNvPr id="1765304565" name="Chart 20">
          <a:extLst>
            <a:ext uri="{FF2B5EF4-FFF2-40B4-BE49-F238E27FC236}">
              <a16:creationId xmlns:a16="http://schemas.microsoft.com/office/drawing/2014/main" id="{00000000-0008-0000-0A00-0000F5683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286771</xdr:colOff>
      <xdr:row>0</xdr:row>
      <xdr:rowOff>0</xdr:rowOff>
    </xdr:from>
    <xdr:ext cx="5979952" cy="3778770"/>
    <xdr:graphicFrame macro="">
      <xdr:nvGraphicFramePr>
        <xdr:cNvPr id="1213399219" name="Chart 23">
          <a:extLst>
            <a:ext uri="{FF2B5EF4-FFF2-40B4-BE49-F238E27FC236}">
              <a16:creationId xmlns:a16="http://schemas.microsoft.com/office/drawing/2014/main" id="{00000000-0008-0000-0A00-0000B3005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124919</xdr:colOff>
      <xdr:row>20</xdr:row>
      <xdr:rowOff>124918</xdr:rowOff>
    </xdr:from>
    <xdr:ext cx="6141018" cy="4143705"/>
    <xdr:graphicFrame macro="">
      <xdr:nvGraphicFramePr>
        <xdr:cNvPr id="1061093847" name="Chart 24">
          <a:extLst>
            <a:ext uri="{FF2B5EF4-FFF2-40B4-BE49-F238E27FC236}">
              <a16:creationId xmlns:a16="http://schemas.microsoft.com/office/drawing/2014/main" id="{00000000-0008-0000-0A00-0000D7013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371475</xdr:colOff>
      <xdr:row>0</xdr:row>
      <xdr:rowOff>0</xdr:rowOff>
    </xdr:from>
    <xdr:to>
      <xdr:col>30</xdr:col>
      <xdr:colOff>66675</xdr:colOff>
      <xdr:row>14</xdr:row>
      <xdr:rowOff>19050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39E69C83-9CFF-3C22-4F03-201A3EC15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409575</xdr:colOff>
      <xdr:row>19</xdr:row>
      <xdr:rowOff>195262</xdr:rowOff>
    </xdr:from>
    <xdr:to>
      <xdr:col>30</xdr:col>
      <xdr:colOff>104775</xdr:colOff>
      <xdr:row>34</xdr:row>
      <xdr:rowOff>14287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D385B5BC-2B8D-94FE-8578-BE9E3857F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74369A-87DD-403C-970F-DBFA1221376E}" name="Tablo4" displayName="Tablo4" ref="N3:P6">
  <autoFilter ref="N3:P6" xr:uid="{B674369A-87DD-403C-970F-DBFA1221376E}">
    <filterColumn colId="0" hiddenButton="1"/>
    <filterColumn colId="1" hiddenButton="1"/>
    <filterColumn colId="2" hiddenButton="1"/>
  </autoFilter>
  <tableColumns count="3">
    <tableColumn id="1" xr3:uid="{BBF1553D-288A-4B2D-BE00-18D6D7211A92}" name="İDRAR A" totalsRowLabel="Toplam" dataDxfId="13" totalsRowDxfId="12"/>
    <tableColumn id="2" xr3:uid="{A59A3D08-DE60-4E4F-94FE-555F013C17A0}" name="%GERİ KAZANIM"/>
    <tableColumn id="3" xr3:uid="{18590253-EB8E-4C1A-8473-3D86981BE5BF}" name="±" totalsRowFunction="sum" dataDxfId="11" totalsRowDxfId="10"/>
  </tableColumns>
  <tableStyleInfo name="TableStyleLight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4122CD-44D9-43A0-9FA2-0152EB634F82}" name="Tablo5" displayName="Tablo5" ref="Q3:S6" totalsRowShown="0" dataDxfId="9">
  <autoFilter ref="Q3:S6" xr:uid="{E24122CD-44D9-43A0-9FA2-0152EB634F82}">
    <filterColumn colId="0" hiddenButton="1"/>
    <filterColumn colId="1" hiddenButton="1"/>
    <filterColumn colId="2" hiddenButton="1"/>
  </autoFilter>
  <tableColumns count="3">
    <tableColumn id="1" xr3:uid="{B7F9A102-DF65-4691-A0A9-4BE95E939D5B}" name="İDRAR B" dataDxfId="8"/>
    <tableColumn id="2" xr3:uid="{922BDF17-CC45-4FAD-A5B7-4048AF8A71A5}" name="%GERİ KAZANIM" dataDxfId="7"/>
    <tableColumn id="3" xr3:uid="{8BA60329-A897-4E4C-AA8F-0E2492F0E4E2}" name="±" dataDxfId="6"/>
  </tableColumns>
  <tableStyleInfo name="TableStyleLight14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4FBEFC-09A3-410E-93B9-E31161ADD324}" name="Tablo6" displayName="Tablo6" ref="N11:P14" totalsRowShown="0" dataDxfId="5">
  <autoFilter ref="N11:P14" xr:uid="{C14FBEFC-09A3-410E-93B9-E31161ADD324}">
    <filterColumn colId="0" hiddenButton="1"/>
    <filterColumn colId="1" hiddenButton="1"/>
    <filterColumn colId="2" hiddenButton="1"/>
  </autoFilter>
  <tableColumns count="3">
    <tableColumn id="1" xr3:uid="{3EBD689D-8482-4C6E-8E14-C0A8195C138B}" name="İDRAR A" dataDxfId="4"/>
    <tableColumn id="2" xr3:uid="{5E30C731-9CB5-4D98-9C70-E2DCA035AE25}" name="%GERİ KAZANIM" dataDxfId="3"/>
    <tableColumn id="3" xr3:uid="{4AD29118-5320-4E38-885D-1E58CCEFB3F5}" name="±" dataDxfId="2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A10884-75E7-4856-81D5-09572AAEEB47}" name="Tablo7" displayName="Tablo7" ref="Q11:S14" totalsRowShown="0">
  <autoFilter ref="Q11:S14" xr:uid="{F0A10884-75E7-4856-81D5-09572AAEEB47}">
    <filterColumn colId="0" hiddenButton="1"/>
    <filterColumn colId="1" hiddenButton="1"/>
    <filterColumn colId="2" hiddenButton="1"/>
  </autoFilter>
  <tableColumns count="3">
    <tableColumn id="1" xr3:uid="{206A5ED8-ABDF-4A21-A579-F7EDB8D8D4A5}" name="İDRAR B" dataDxfId="1"/>
    <tableColumn id="2" xr3:uid="{06B18217-8634-4ECB-B768-A5866E180977}" name="%GERİ KAZANIM"/>
    <tableColumn id="3" xr3:uid="{B87A991C-BFE0-4892-9A0C-BDAA5BDA9639}" name="±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1" zoomScale="75" workbookViewId="0"/>
  </sheetViews>
  <sheetFormatPr baseColWidth="10" defaultColWidth="14.5" defaultRowHeight="15" customHeight="1" x14ac:dyDescent="0.2"/>
  <cols>
    <col min="1" max="1" width="14.5" customWidth="1"/>
    <col min="2" max="2" width="35.5" customWidth="1"/>
    <col min="3" max="3" width="8.6640625" customWidth="1"/>
    <col min="4" max="4" width="16" customWidth="1"/>
    <col min="5" max="6" width="8.6640625" customWidth="1"/>
    <col min="7" max="7" width="10.33203125" customWidth="1"/>
    <col min="8" max="8" width="15.33203125" customWidth="1"/>
    <col min="9" max="11" width="8.6640625" customWidth="1"/>
    <col min="12" max="12" width="29.6640625" customWidth="1"/>
    <col min="13" max="13" width="33" customWidth="1"/>
    <col min="14" max="26" width="8.6640625" customWidth="1"/>
  </cols>
  <sheetData>
    <row r="1" spans="1:26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2</v>
      </c>
      <c r="B2" s="5" t="s">
        <v>3</v>
      </c>
      <c r="C2" s="3"/>
      <c r="D2" s="3"/>
      <c r="E2" s="3"/>
      <c r="F2" s="3"/>
      <c r="G2" s="3"/>
      <c r="H2" s="6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7" t="s">
        <v>5</v>
      </c>
      <c r="B3" s="8" t="s">
        <v>6</v>
      </c>
      <c r="C3" s="3"/>
      <c r="D3" s="3"/>
      <c r="E3" s="3"/>
      <c r="F3" s="3"/>
      <c r="G3" s="9" t="s">
        <v>7</v>
      </c>
      <c r="H3" s="6" t="s">
        <v>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6" t="s">
        <v>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9" t="s">
        <v>10</v>
      </c>
      <c r="H11" s="6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10" t="s">
        <v>12</v>
      </c>
      <c r="B15" s="11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6" t="s">
        <v>14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12" t="s">
        <v>15</v>
      </c>
      <c r="C16" s="13"/>
      <c r="D16" s="3" t="s">
        <v>16</v>
      </c>
      <c r="E16" s="3"/>
      <c r="F16" s="3"/>
      <c r="G16" s="3"/>
      <c r="H16" s="3"/>
      <c r="I16" s="3"/>
      <c r="J16" s="3"/>
      <c r="K16" s="3"/>
      <c r="L16" s="14" t="s">
        <v>17</v>
      </c>
      <c r="M16" s="1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12" t="s">
        <v>18</v>
      </c>
      <c r="C17" s="13"/>
      <c r="D17" s="3" t="s">
        <v>19</v>
      </c>
      <c r="E17" s="3"/>
      <c r="F17" s="3"/>
      <c r="G17" s="3"/>
      <c r="H17" s="3"/>
      <c r="I17" s="3"/>
      <c r="J17" s="3"/>
      <c r="K17" s="3"/>
      <c r="L17" s="16" t="s">
        <v>15</v>
      </c>
      <c r="M17" s="17" t="s">
        <v>16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12" t="s">
        <v>20</v>
      </c>
      <c r="C18" s="13"/>
      <c r="D18" s="3" t="s">
        <v>21</v>
      </c>
      <c r="E18" s="3"/>
      <c r="F18" s="3"/>
      <c r="G18" s="3"/>
      <c r="H18" s="3"/>
      <c r="I18" s="3"/>
      <c r="J18" s="3"/>
      <c r="K18" s="3"/>
      <c r="L18" s="16" t="s">
        <v>22</v>
      </c>
      <c r="M18" s="17" t="s">
        <v>23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12" t="s">
        <v>24</v>
      </c>
      <c r="C19" s="13"/>
      <c r="D19" s="3" t="s">
        <v>25</v>
      </c>
      <c r="E19" s="3"/>
      <c r="F19" s="3"/>
      <c r="G19" s="3"/>
      <c r="H19" s="3"/>
      <c r="I19" s="3"/>
      <c r="J19" s="3"/>
      <c r="K19" s="3"/>
      <c r="L19" s="16" t="s">
        <v>26</v>
      </c>
      <c r="M19" s="17" t="s">
        <v>27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12" t="s">
        <v>28</v>
      </c>
      <c r="C20" s="13"/>
      <c r="D20" s="3" t="s">
        <v>29</v>
      </c>
      <c r="E20" s="3"/>
      <c r="F20" s="3"/>
      <c r="G20" s="3"/>
      <c r="H20" s="3"/>
      <c r="I20" s="3"/>
      <c r="J20" s="3"/>
      <c r="K20" s="3"/>
      <c r="L20" s="16" t="s">
        <v>30</v>
      </c>
      <c r="M20" s="17" t="s">
        <v>31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12" t="s">
        <v>32</v>
      </c>
      <c r="C21" s="13"/>
      <c r="D21" s="3" t="s">
        <v>33</v>
      </c>
      <c r="E21" s="3"/>
      <c r="F21" s="3"/>
      <c r="G21" s="3"/>
      <c r="H21" s="3"/>
      <c r="I21" s="3"/>
      <c r="J21" s="3"/>
      <c r="K21" s="3"/>
      <c r="L21" s="16" t="s">
        <v>34</v>
      </c>
      <c r="M21" s="17" t="s">
        <v>35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12" t="s">
        <v>36</v>
      </c>
      <c r="C22" s="13"/>
      <c r="D22" s="3" t="s">
        <v>37</v>
      </c>
      <c r="E22" s="3"/>
      <c r="F22" s="3"/>
      <c r="G22" s="3"/>
      <c r="H22" s="3"/>
      <c r="I22" s="3"/>
      <c r="J22" s="3"/>
      <c r="K22" s="3"/>
      <c r="L22" s="16" t="s">
        <v>38</v>
      </c>
      <c r="M22" s="17" t="s">
        <v>39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12" t="s">
        <v>40</v>
      </c>
      <c r="C23" s="13"/>
      <c r="D23" s="3" t="s">
        <v>41</v>
      </c>
      <c r="E23" s="3"/>
      <c r="F23" s="3"/>
      <c r="G23" s="3"/>
      <c r="H23" s="3"/>
      <c r="I23" s="3"/>
      <c r="J23" s="3"/>
      <c r="K23" s="3"/>
      <c r="L23" s="16" t="s">
        <v>42</v>
      </c>
      <c r="M23" s="17" t="s">
        <v>43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12" t="s">
        <v>44</v>
      </c>
      <c r="C24" s="13"/>
      <c r="D24" s="3" t="s">
        <v>23</v>
      </c>
      <c r="E24" s="3"/>
      <c r="F24" s="3"/>
      <c r="G24" s="3"/>
      <c r="H24" s="3"/>
      <c r="I24" s="3"/>
      <c r="J24" s="3"/>
      <c r="K24" s="3"/>
      <c r="L24" s="16" t="s">
        <v>45</v>
      </c>
      <c r="M24" s="17" t="s">
        <v>46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11" t="s">
        <v>47</v>
      </c>
      <c r="C25" s="18"/>
      <c r="D25" s="3"/>
      <c r="E25" s="3"/>
      <c r="F25" s="3"/>
      <c r="G25" s="3"/>
      <c r="H25" s="3"/>
      <c r="I25" s="3"/>
      <c r="J25" s="3"/>
      <c r="K25" s="3"/>
      <c r="L25" s="16" t="s">
        <v>48</v>
      </c>
      <c r="M25" s="17" t="s">
        <v>49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12" t="s">
        <v>50</v>
      </c>
      <c r="C26" s="3"/>
      <c r="D26" s="3"/>
      <c r="E26" s="3"/>
      <c r="F26" s="3"/>
      <c r="G26" s="3"/>
      <c r="H26" s="3"/>
      <c r="I26" s="3"/>
      <c r="J26" s="3"/>
      <c r="K26" s="3"/>
      <c r="L26" s="16" t="s">
        <v>51</v>
      </c>
      <c r="M26" s="17" t="s">
        <v>52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12" t="s">
        <v>38</v>
      </c>
      <c r="C27" s="3"/>
      <c r="D27" s="3"/>
      <c r="E27" s="3"/>
      <c r="F27" s="3"/>
      <c r="G27" s="3"/>
      <c r="H27" s="3"/>
      <c r="I27" s="3"/>
      <c r="J27" s="3"/>
      <c r="K27" s="3"/>
      <c r="L27" s="19" t="s">
        <v>53</v>
      </c>
      <c r="M27" s="20" t="s">
        <v>54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12" t="s">
        <v>45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12" t="s">
        <v>48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zoomScale="93" workbookViewId="0">
      <selection activeCell="E20" sqref="E20"/>
    </sheetView>
  </sheetViews>
  <sheetFormatPr baseColWidth="10" defaultColWidth="14.5" defaultRowHeight="15" customHeight="1" x14ac:dyDescent="0.2"/>
  <cols>
    <col min="1" max="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5" defaultRowHeight="15" customHeight="1" x14ac:dyDescent="0.2"/>
  <cols>
    <col min="1" max="1" width="17" customWidth="1"/>
    <col min="2" max="2" width="9.83203125" customWidth="1"/>
    <col min="3" max="5" width="8.6640625" customWidth="1"/>
    <col min="6" max="6" width="9.6640625" customWidth="1"/>
    <col min="7" max="7" width="8.6640625" customWidth="1"/>
    <col min="8" max="8" width="22.6640625" customWidth="1"/>
    <col min="9" max="9" width="31.83203125" customWidth="1"/>
    <col min="10" max="26" width="8.6640625" customWidth="1"/>
  </cols>
  <sheetData>
    <row r="1" spans="1:26" x14ac:dyDescent="0.2">
      <c r="A1" s="21"/>
      <c r="B1" s="22" t="s">
        <v>7</v>
      </c>
      <c r="C1" s="23"/>
      <c r="D1" s="23"/>
      <c r="E1" s="23"/>
      <c r="F1" s="2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5" t="s">
        <v>55</v>
      </c>
      <c r="B2" s="3" t="s">
        <v>56</v>
      </c>
      <c r="C2" s="3" t="s">
        <v>56</v>
      </c>
      <c r="D2" s="3" t="s">
        <v>57</v>
      </c>
      <c r="E2" s="3" t="s">
        <v>58</v>
      </c>
      <c r="F2" s="26" t="s">
        <v>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5">
        <v>20</v>
      </c>
      <c r="B3" s="3">
        <v>257.57600000000002</v>
      </c>
      <c r="C3" s="3"/>
      <c r="D3" s="3">
        <f t="shared" ref="D3:D7" si="0">AVERAGE(B3:C3)</f>
        <v>257.57600000000002</v>
      </c>
      <c r="E3" s="3" t="e">
        <f t="shared" ref="E3:E7" si="1">STDEV(B3:C3)</f>
        <v>#DIV/0!</v>
      </c>
      <c r="F3" s="26" t="e">
        <f t="shared" ref="F3:F7" si="2">E3/D3*100</f>
        <v>#DIV/0!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25">
        <v>30</v>
      </c>
      <c r="B4" s="3">
        <v>351.28100000000001</v>
      </c>
      <c r="C4" s="3">
        <v>332.07900000000001</v>
      </c>
      <c r="D4" s="3">
        <f t="shared" si="0"/>
        <v>341.68</v>
      </c>
      <c r="E4" s="3">
        <f t="shared" si="1"/>
        <v>13.577864412344084</v>
      </c>
      <c r="F4" s="26">
        <f t="shared" si="2"/>
        <v>3.9738540190658171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25">
        <v>40</v>
      </c>
      <c r="B5" s="3">
        <v>581.28300000000002</v>
      </c>
      <c r="C5" s="3">
        <v>480.88499999999999</v>
      </c>
      <c r="D5" s="3">
        <f t="shared" si="0"/>
        <v>531.08400000000006</v>
      </c>
      <c r="E5" s="3">
        <f t="shared" si="1"/>
        <v>70.992106617567018</v>
      </c>
      <c r="F5" s="26">
        <f t="shared" si="2"/>
        <v>13.36739698758897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25">
        <v>50</v>
      </c>
      <c r="B6" s="3">
        <v>787.85500000000002</v>
      </c>
      <c r="C6" s="3">
        <v>687.27700000000004</v>
      </c>
      <c r="D6" s="3">
        <f t="shared" si="0"/>
        <v>737.56600000000003</v>
      </c>
      <c r="E6" s="3">
        <f t="shared" si="1"/>
        <v>71.119385838180563</v>
      </c>
      <c r="F6" s="26">
        <f t="shared" si="2"/>
        <v>9.6424436373396496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25">
        <v>60</v>
      </c>
      <c r="B7" s="3">
        <v>1049.24</v>
      </c>
      <c r="C7" s="3">
        <v>904.90300000000002</v>
      </c>
      <c r="D7" s="3">
        <f t="shared" si="0"/>
        <v>977.07150000000001</v>
      </c>
      <c r="E7" s="3">
        <f t="shared" si="1"/>
        <v>102.06167147612271</v>
      </c>
      <c r="F7" s="26">
        <f t="shared" si="2"/>
        <v>10.44567070845099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27"/>
      <c r="B8" s="28" t="s">
        <v>10</v>
      </c>
      <c r="C8" s="29"/>
      <c r="D8" s="29"/>
      <c r="E8" s="29"/>
      <c r="F8" s="3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5" t="s">
        <v>55</v>
      </c>
      <c r="B9" s="3" t="s">
        <v>56</v>
      </c>
      <c r="C9" s="3" t="s">
        <v>56</v>
      </c>
      <c r="D9" s="3" t="s">
        <v>57</v>
      </c>
      <c r="E9" s="3" t="s">
        <v>58</v>
      </c>
      <c r="F9" s="26" t="s">
        <v>59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5">
        <v>20</v>
      </c>
      <c r="B10" s="3">
        <v>1799.75</v>
      </c>
      <c r="C10" s="3"/>
      <c r="D10" s="3">
        <f t="shared" ref="D10:D14" si="3">AVERAGE(B10:C10)</f>
        <v>1799.75</v>
      </c>
      <c r="E10" s="3" t="e">
        <f t="shared" ref="E10:E14" si="4">STDEV(B10:C10)</f>
        <v>#DIV/0!</v>
      </c>
      <c r="F10" s="26" t="e">
        <f t="shared" ref="F10:F14" si="5">E10/D10*100</f>
        <v>#DIV/0!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6" x14ac:dyDescent="0.2">
      <c r="A11" s="25">
        <v>30</v>
      </c>
      <c r="B11" s="3">
        <v>2172.25</v>
      </c>
      <c r="C11" s="3">
        <v>2446.0500000000002</v>
      </c>
      <c r="D11" s="3">
        <f t="shared" si="3"/>
        <v>2309.15</v>
      </c>
      <c r="E11" s="3">
        <f t="shared" si="4"/>
        <v>193.60583668887685</v>
      </c>
      <c r="F11" s="26">
        <f t="shared" si="5"/>
        <v>8.3842901798877012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6" x14ac:dyDescent="0.2">
      <c r="A12" s="25">
        <v>40</v>
      </c>
      <c r="B12" s="3">
        <v>2403.7600000000002</v>
      </c>
      <c r="C12" s="3">
        <v>2421.73</v>
      </c>
      <c r="D12" s="3">
        <f t="shared" si="3"/>
        <v>2412.7449999999999</v>
      </c>
      <c r="E12" s="3">
        <f t="shared" si="4"/>
        <v>12.706708857922118</v>
      </c>
      <c r="F12" s="26">
        <f t="shared" si="5"/>
        <v>0.52664947426777875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">
      <c r="A13" s="25">
        <v>50</v>
      </c>
      <c r="B13" s="3">
        <v>2856.55</v>
      </c>
      <c r="C13" s="3">
        <v>2608.9</v>
      </c>
      <c r="D13" s="3">
        <f t="shared" si="3"/>
        <v>2732.7250000000004</v>
      </c>
      <c r="E13" s="3">
        <f t="shared" si="4"/>
        <v>175.11499436084856</v>
      </c>
      <c r="F13" s="26">
        <f t="shared" si="5"/>
        <v>6.4080723219807529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">
      <c r="A14" s="31">
        <v>60</v>
      </c>
      <c r="B14" s="32">
        <v>3350.78</v>
      </c>
      <c r="C14" s="32">
        <v>3347.98</v>
      </c>
      <c r="D14" s="32">
        <f t="shared" si="3"/>
        <v>3349.38</v>
      </c>
      <c r="E14" s="32">
        <f t="shared" si="4"/>
        <v>1.9798989873224617</v>
      </c>
      <c r="F14" s="33">
        <f t="shared" si="5"/>
        <v>5.9112402513971589E-2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">
      <c r="A16" s="3"/>
      <c r="B16" s="3" t="s">
        <v>60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6" ht="15.75" customHeight="1" x14ac:dyDescent="0.2">
      <c r="A17" s="3"/>
      <c r="B17" s="3"/>
      <c r="C17" s="3"/>
      <c r="D17" s="3"/>
      <c r="E17" s="3"/>
      <c r="F17" s="3"/>
      <c r="G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3"/>
      <c r="B18" s="3"/>
      <c r="C18" s="3"/>
      <c r="D18" s="3"/>
      <c r="E18" s="3"/>
      <c r="F18" s="3"/>
      <c r="G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3"/>
      <c r="B19" s="3"/>
      <c r="C19" s="3"/>
      <c r="D19" s="3"/>
      <c r="E19" s="3"/>
      <c r="F19" s="3"/>
      <c r="G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3"/>
      <c r="B20" s="3"/>
      <c r="C20" s="3"/>
      <c r="D20" s="3"/>
      <c r="E20" s="3"/>
      <c r="F20" s="3"/>
      <c r="G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 x14ac:dyDescent="0.2"/>
  <cols>
    <col min="1" max="26" width="14.5" customWidth="1"/>
  </cols>
  <sheetData>
    <row r="1" spans="1:26" x14ac:dyDescent="0.2">
      <c r="A1" s="34"/>
      <c r="B1" s="28" t="s">
        <v>7</v>
      </c>
      <c r="C1" s="29"/>
      <c r="D1" s="29"/>
      <c r="E1" s="29"/>
      <c r="F1" s="1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5" t="s">
        <v>61</v>
      </c>
      <c r="B2" s="3" t="s">
        <v>56</v>
      </c>
      <c r="C2" s="3" t="s">
        <v>56</v>
      </c>
      <c r="D2" s="3" t="s">
        <v>57</v>
      </c>
      <c r="E2" s="3" t="s">
        <v>58</v>
      </c>
      <c r="F2" s="17" t="s">
        <v>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5">
        <v>0</v>
      </c>
      <c r="B3" s="3">
        <v>239.483</v>
      </c>
      <c r="C3" s="3">
        <v>371.601</v>
      </c>
      <c r="D3" s="3">
        <f>AVERAGE(B3,C3)</f>
        <v>305.54200000000003</v>
      </c>
      <c r="E3" s="3">
        <f t="shared" ref="E3:E8" si="0">STDEV(B3:C3)</f>
        <v>93.421533716804205</v>
      </c>
      <c r="F3" s="17">
        <f t="shared" ref="F3:F9" si="1">E3/D3*100</f>
        <v>30.57567657369664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5">
        <v>4</v>
      </c>
      <c r="B4" s="3">
        <v>129.154</v>
      </c>
      <c r="C4" s="3">
        <v>125.30500000000001</v>
      </c>
      <c r="D4" s="3">
        <f t="shared" ref="D4:D8" si="2">AVERAGE(B4:C4)</f>
        <v>127.2295</v>
      </c>
      <c r="E4" s="3">
        <f t="shared" si="0"/>
        <v>2.721654000787014</v>
      </c>
      <c r="F4" s="17">
        <f t="shared" si="1"/>
        <v>2.1391689826549771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5">
        <v>5</v>
      </c>
      <c r="B5" s="3">
        <v>198.31899999999999</v>
      </c>
      <c r="C5" s="3">
        <v>189.988</v>
      </c>
      <c r="D5" s="3">
        <f t="shared" si="2"/>
        <v>194.15350000000001</v>
      </c>
      <c r="E5" s="3">
        <f t="shared" si="0"/>
        <v>5.8909065940651191</v>
      </c>
      <c r="F5" s="17">
        <f t="shared" si="1"/>
        <v>3.0341490594118152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5">
        <v>6</v>
      </c>
      <c r="B6" s="3">
        <v>314.476</v>
      </c>
      <c r="C6" s="3">
        <v>373.31799999999998</v>
      </c>
      <c r="D6" s="3">
        <f t="shared" si="2"/>
        <v>343.89699999999999</v>
      </c>
      <c r="E6" s="3">
        <f t="shared" si="0"/>
        <v>41.607577218578818</v>
      </c>
      <c r="F6" s="17">
        <f t="shared" si="1"/>
        <v>12.098848555985898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5">
        <v>7</v>
      </c>
      <c r="B7" s="3">
        <v>462.23399999999998</v>
      </c>
      <c r="C7" s="3">
        <v>590.43799999999999</v>
      </c>
      <c r="D7" s="3">
        <f t="shared" si="2"/>
        <v>526.33600000000001</v>
      </c>
      <c r="E7" s="3">
        <f t="shared" si="0"/>
        <v>90.653917775239947</v>
      </c>
      <c r="F7" s="17">
        <f t="shared" si="1"/>
        <v>17.223582991708707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5">
        <v>8</v>
      </c>
      <c r="B8" s="3">
        <v>568.41600000000005</v>
      </c>
      <c r="C8" s="3">
        <v>827.79399999999998</v>
      </c>
      <c r="D8" s="3">
        <f t="shared" si="2"/>
        <v>698.10500000000002</v>
      </c>
      <c r="E8" s="3">
        <f t="shared" si="0"/>
        <v>183.4079426906043</v>
      </c>
      <c r="F8" s="17">
        <f t="shared" si="1"/>
        <v>26.272257424113032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6">
        <v>9</v>
      </c>
      <c r="B9" s="37">
        <v>741.154</v>
      </c>
      <c r="C9" s="37">
        <v>810.98099999999999</v>
      </c>
      <c r="D9" s="37">
        <f>AVERAGE(B9,C9)</f>
        <v>776.0675</v>
      </c>
      <c r="E9" s="37">
        <f>STDEV(B9,C9)</f>
        <v>49.375145209913057</v>
      </c>
      <c r="F9" s="38">
        <f t="shared" si="1"/>
        <v>6.3622230295577449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5"/>
      <c r="B10" s="39" t="s">
        <v>10</v>
      </c>
      <c r="C10" s="3"/>
      <c r="D10" s="3"/>
      <c r="E10" s="3"/>
      <c r="F10" s="1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5" t="s">
        <v>61</v>
      </c>
      <c r="B11" s="3" t="s">
        <v>56</v>
      </c>
      <c r="C11" s="3" t="s">
        <v>56</v>
      </c>
      <c r="D11" s="3" t="s">
        <v>57</v>
      </c>
      <c r="E11" s="3" t="s">
        <v>58</v>
      </c>
      <c r="F11" s="17" t="s">
        <v>59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5">
        <v>0</v>
      </c>
      <c r="B12" s="3">
        <v>703.42200000000003</v>
      </c>
      <c r="C12" s="3">
        <v>581.02800000000002</v>
      </c>
      <c r="D12" s="3">
        <f t="shared" ref="D12:D17" si="3">AVERAGE(B12:C12)</f>
        <v>642.22500000000002</v>
      </c>
      <c r="E12" s="3">
        <f t="shared" ref="E12:E17" si="4">STDEV(B12:C12)</f>
        <v>86.545627376546307</v>
      </c>
      <c r="F12" s="17">
        <f t="shared" ref="F12:F18" si="5">E12/D12*100</f>
        <v>13.475904453508708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5">
        <v>4</v>
      </c>
      <c r="B13" s="3">
        <v>517.13800000000003</v>
      </c>
      <c r="C13" s="3">
        <v>439.02600000000001</v>
      </c>
      <c r="D13" s="3">
        <f t="shared" si="3"/>
        <v>478.08199999999999</v>
      </c>
      <c r="E13" s="3">
        <f t="shared" si="4"/>
        <v>55.233524892043619</v>
      </c>
      <c r="F13" s="17">
        <f t="shared" si="5"/>
        <v>11.553148809627558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5">
        <v>5</v>
      </c>
      <c r="B14" s="3">
        <v>514.00199999999995</v>
      </c>
      <c r="C14" s="3">
        <v>572.97400000000005</v>
      </c>
      <c r="D14" s="3">
        <f t="shared" si="3"/>
        <v>543.48800000000006</v>
      </c>
      <c r="E14" s="3">
        <f t="shared" si="4"/>
        <v>41.699501100133148</v>
      </c>
      <c r="F14" s="17">
        <f t="shared" si="5"/>
        <v>7.6725707099573759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5">
        <v>6</v>
      </c>
      <c r="B15" s="3">
        <v>544.32799999999997</v>
      </c>
      <c r="C15" s="3">
        <v>543.07100000000003</v>
      </c>
      <c r="D15" s="3">
        <f t="shared" si="3"/>
        <v>543.69949999999994</v>
      </c>
      <c r="E15" s="3">
        <f t="shared" si="4"/>
        <v>0.88883322395145359</v>
      </c>
      <c r="F15" s="17">
        <f t="shared" si="5"/>
        <v>0.16347876427170774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5">
        <v>7</v>
      </c>
      <c r="B16" s="3">
        <v>579.76400000000001</v>
      </c>
      <c r="C16" s="3">
        <v>890.303</v>
      </c>
      <c r="D16" s="3">
        <f t="shared" si="3"/>
        <v>735.0335</v>
      </c>
      <c r="E16" s="3">
        <f t="shared" si="4"/>
        <v>219.584232722889</v>
      </c>
      <c r="F16" s="17">
        <f t="shared" si="5"/>
        <v>29.874044206541473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5">
        <v>8</v>
      </c>
      <c r="B17" s="3">
        <v>581.39700000000005</v>
      </c>
      <c r="C17" s="3">
        <v>867.42700000000002</v>
      </c>
      <c r="D17" s="3">
        <f t="shared" si="3"/>
        <v>724.41200000000003</v>
      </c>
      <c r="E17" s="3">
        <f t="shared" si="4"/>
        <v>202.2537526227882</v>
      </c>
      <c r="F17" s="17">
        <f t="shared" si="5"/>
        <v>27.919713177416742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0">
        <v>9</v>
      </c>
      <c r="B18" s="41">
        <v>669.90200000000004</v>
      </c>
      <c r="C18" s="41">
        <v>746.48099999999999</v>
      </c>
      <c r="D18" s="41">
        <f>AVERAGE(B18,C18)</f>
        <v>708.19150000000002</v>
      </c>
      <c r="E18" s="41">
        <f>STDEV(B18,C18)</f>
        <v>54.149530196484591</v>
      </c>
      <c r="F18" s="20">
        <f t="shared" si="5"/>
        <v>7.6461705903678014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 t="s">
        <v>62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baseColWidth="10" defaultColWidth="14.5" defaultRowHeight="15" customHeight="1" x14ac:dyDescent="0.2"/>
  <cols>
    <col min="1" max="6" width="14.5" customWidth="1"/>
  </cols>
  <sheetData>
    <row r="1" spans="1:7" ht="15" customHeight="1" x14ac:dyDescent="0.2">
      <c r="A1" s="42"/>
      <c r="B1" s="43" t="s">
        <v>7</v>
      </c>
      <c r="C1" s="44"/>
      <c r="D1" s="44"/>
      <c r="E1" s="44"/>
      <c r="F1" s="44"/>
      <c r="G1" s="45"/>
    </row>
    <row r="2" spans="1:7" ht="15" customHeight="1" x14ac:dyDescent="0.2">
      <c r="A2" s="46" t="s">
        <v>63</v>
      </c>
      <c r="B2" s="47" t="s">
        <v>56</v>
      </c>
      <c r="C2" s="47" t="s">
        <v>56</v>
      </c>
      <c r="D2" s="47" t="s">
        <v>56</v>
      </c>
      <c r="E2" s="47" t="s">
        <v>57</v>
      </c>
      <c r="F2" s="47" t="s">
        <v>58</v>
      </c>
      <c r="G2" s="48" t="s">
        <v>59</v>
      </c>
    </row>
    <row r="3" spans="1:7" ht="15" customHeight="1" x14ac:dyDescent="0.2">
      <c r="A3" s="46" t="s">
        <v>64</v>
      </c>
      <c r="B3" s="47">
        <v>846.27599999999995</v>
      </c>
      <c r="C3" s="47">
        <v>889.64499999999998</v>
      </c>
      <c r="D3" s="47">
        <v>838.60699999999997</v>
      </c>
      <c r="E3" s="47">
        <f t="shared" ref="E3:E7" si="0">AVERAGE(B3,C3,D3)</f>
        <v>858.17599999999993</v>
      </c>
      <c r="F3" s="47">
        <f t="shared" ref="F3:F7" si="1">STDEV(B3:C3:D3)</f>
        <v>27.521389154619367</v>
      </c>
      <c r="G3" s="48">
        <f t="shared" ref="G3:G7" si="2">F3/E3*100</f>
        <v>3.2069632749714945</v>
      </c>
    </row>
    <row r="4" spans="1:7" ht="15" customHeight="1" x14ac:dyDescent="0.2">
      <c r="A4" s="46" t="s">
        <v>65</v>
      </c>
      <c r="B4" s="47">
        <v>855.73800000000006</v>
      </c>
      <c r="C4" s="47">
        <v>801.81100000000004</v>
      </c>
      <c r="D4" s="47">
        <v>890.06899999999996</v>
      </c>
      <c r="E4" s="47">
        <f t="shared" si="0"/>
        <v>849.20600000000002</v>
      </c>
      <c r="F4" s="47">
        <f t="shared" si="1"/>
        <v>27.521389154619367</v>
      </c>
      <c r="G4" s="48">
        <f t="shared" si="2"/>
        <v>3.2408378125707267</v>
      </c>
    </row>
    <row r="5" spans="1:7" ht="15" customHeight="1" x14ac:dyDescent="0.2">
      <c r="A5" s="46" t="s">
        <v>25</v>
      </c>
      <c r="B5" s="47">
        <v>906.28899999999999</v>
      </c>
      <c r="C5" s="47">
        <v>837.95799999999997</v>
      </c>
      <c r="D5" s="47">
        <v>1042.46</v>
      </c>
      <c r="E5" s="47">
        <f t="shared" si="0"/>
        <v>928.90233333333333</v>
      </c>
      <c r="F5" s="47">
        <f t="shared" si="1"/>
        <v>27.521389154619367</v>
      </c>
      <c r="G5" s="48">
        <f t="shared" si="2"/>
        <v>2.9627860935454677</v>
      </c>
    </row>
    <row r="6" spans="1:7" ht="15" customHeight="1" x14ac:dyDescent="0.2">
      <c r="A6" s="46" t="s">
        <v>66</v>
      </c>
      <c r="B6" s="47">
        <v>825.13699999999994</v>
      </c>
      <c r="C6" s="47">
        <v>906.45399999999995</v>
      </c>
      <c r="D6" s="47">
        <v>863.81299999999999</v>
      </c>
      <c r="E6" s="47">
        <f t="shared" si="0"/>
        <v>865.1346666666667</v>
      </c>
      <c r="F6" s="47">
        <f t="shared" si="1"/>
        <v>27.521389154619367</v>
      </c>
      <c r="G6" s="48">
        <f t="shared" si="2"/>
        <v>3.1811682290640726</v>
      </c>
    </row>
    <row r="7" spans="1:7" ht="15" customHeight="1" x14ac:dyDescent="0.2">
      <c r="A7" s="46" t="s">
        <v>67</v>
      </c>
      <c r="B7" s="47">
        <v>857.60799999999995</v>
      </c>
      <c r="C7" s="47">
        <v>815.23199999999997</v>
      </c>
      <c r="D7" s="47">
        <v>1033.71</v>
      </c>
      <c r="E7" s="47">
        <f t="shared" si="0"/>
        <v>902.18333333333339</v>
      </c>
      <c r="F7" s="47">
        <f t="shared" si="1"/>
        <v>27.521389154619367</v>
      </c>
      <c r="G7" s="48">
        <f t="shared" si="2"/>
        <v>3.0505317641964158</v>
      </c>
    </row>
    <row r="8" spans="1:7" ht="15" customHeight="1" x14ac:dyDescent="0.2">
      <c r="A8" s="46"/>
      <c r="B8" s="49" t="s">
        <v>10</v>
      </c>
      <c r="C8" s="47"/>
      <c r="D8" s="47"/>
      <c r="E8" s="47"/>
      <c r="F8" s="47"/>
      <c r="G8" s="48"/>
    </row>
    <row r="9" spans="1:7" ht="15" customHeight="1" x14ac:dyDescent="0.2">
      <c r="A9" s="46" t="s">
        <v>63</v>
      </c>
      <c r="B9" s="47" t="s">
        <v>56</v>
      </c>
      <c r="C9" s="47" t="s">
        <v>56</v>
      </c>
      <c r="D9" s="47" t="s">
        <v>56</v>
      </c>
      <c r="E9" s="47" t="s">
        <v>57</v>
      </c>
      <c r="F9" s="47" t="s">
        <v>58</v>
      </c>
      <c r="G9" s="48" t="s">
        <v>59</v>
      </c>
    </row>
    <row r="10" spans="1:7" ht="15" customHeight="1" x14ac:dyDescent="0.2">
      <c r="A10" s="46" t="s">
        <v>64</v>
      </c>
      <c r="B10" s="47">
        <v>852.07</v>
      </c>
      <c r="C10" s="47">
        <v>956.58900000000006</v>
      </c>
      <c r="D10" s="47">
        <v>861.97799999999995</v>
      </c>
      <c r="E10" s="47">
        <f t="shared" ref="E10:E14" si="3">AVERAGE(B10:C10,D10)</f>
        <v>890.21233333333339</v>
      </c>
      <c r="F10" s="47">
        <f t="shared" ref="F10:F14" si="4">STDEV(B10:C10:D10)</f>
        <v>57.696954203262209</v>
      </c>
      <c r="G10" s="48">
        <f t="shared" ref="G10:G14" si="5">F10/E10*100</f>
        <v>6.4812575655091509</v>
      </c>
    </row>
    <row r="11" spans="1:7" ht="15" customHeight="1" x14ac:dyDescent="0.2">
      <c r="A11" s="46" t="s">
        <v>65</v>
      </c>
      <c r="B11" s="47">
        <v>885.26400000000001</v>
      </c>
      <c r="C11" s="47">
        <v>840.48400000000004</v>
      </c>
      <c r="D11" s="47">
        <v>898.54899999999998</v>
      </c>
      <c r="E11" s="47">
        <f t="shared" si="3"/>
        <v>874.76566666666668</v>
      </c>
      <c r="F11" s="47">
        <f t="shared" si="4"/>
        <v>57.696954203262209</v>
      </c>
      <c r="G11" s="48">
        <f t="shared" si="5"/>
        <v>6.5957040155815676</v>
      </c>
    </row>
    <row r="12" spans="1:7" ht="15" customHeight="1" x14ac:dyDescent="0.2">
      <c r="A12" s="46" t="s">
        <v>25</v>
      </c>
      <c r="B12" s="47">
        <v>944.904</v>
      </c>
      <c r="C12" s="47">
        <v>777.38199999999995</v>
      </c>
      <c r="D12" s="47">
        <v>962.62199999999996</v>
      </c>
      <c r="E12" s="47">
        <f t="shared" si="3"/>
        <v>894.96933333333334</v>
      </c>
      <c r="F12" s="47">
        <f t="shared" si="4"/>
        <v>57.696954203262209</v>
      </c>
      <c r="G12" s="48">
        <f t="shared" si="5"/>
        <v>6.4468079580300932</v>
      </c>
    </row>
    <row r="13" spans="1:7" ht="15" customHeight="1" x14ac:dyDescent="0.2">
      <c r="A13" s="46" t="s">
        <v>66</v>
      </c>
      <c r="B13" s="47">
        <v>832.40300000000002</v>
      </c>
      <c r="C13" s="47">
        <v>872.73</v>
      </c>
      <c r="D13" s="47">
        <v>866.02200000000005</v>
      </c>
      <c r="E13" s="47">
        <f t="shared" si="3"/>
        <v>857.05166666666673</v>
      </c>
      <c r="F13" s="47">
        <f t="shared" si="4"/>
        <v>57.696954203262209</v>
      </c>
      <c r="G13" s="48">
        <f t="shared" si="5"/>
        <v>6.7320275366435176</v>
      </c>
    </row>
    <row r="14" spans="1:7" ht="15" customHeight="1" x14ac:dyDescent="0.2">
      <c r="A14" s="50" t="s">
        <v>67</v>
      </c>
      <c r="B14" s="51">
        <v>881.24800000000005</v>
      </c>
      <c r="C14" s="51">
        <v>805.07600000000002</v>
      </c>
      <c r="D14" s="51">
        <v>949.39400000000001</v>
      </c>
      <c r="E14" s="51">
        <f t="shared" si="3"/>
        <v>878.57266666666658</v>
      </c>
      <c r="F14" s="51">
        <f t="shared" si="4"/>
        <v>57.696954203262209</v>
      </c>
      <c r="G14" s="52">
        <f t="shared" si="5"/>
        <v>6.5671237442619672</v>
      </c>
    </row>
    <row r="16" spans="1:7" ht="15" customHeight="1" x14ac:dyDescent="0.2">
      <c r="B16" s="47" t="s">
        <v>62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abSelected="1" workbookViewId="0">
      <selection activeCell="F21" sqref="F21"/>
    </sheetView>
  </sheetViews>
  <sheetFormatPr baseColWidth="10" defaultColWidth="14.5" defaultRowHeight="15" customHeight="1" x14ac:dyDescent="0.2"/>
  <cols>
    <col min="1" max="1" width="15.33203125" customWidth="1"/>
    <col min="2" max="6" width="14.5" customWidth="1"/>
  </cols>
  <sheetData>
    <row r="1" spans="1:26" x14ac:dyDescent="0.2">
      <c r="A1" s="78"/>
      <c r="B1" s="79" t="s">
        <v>7</v>
      </c>
      <c r="C1" s="80"/>
      <c r="D1" s="80"/>
      <c r="E1" s="80"/>
      <c r="F1" s="8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82" t="s">
        <v>28</v>
      </c>
      <c r="B2" s="66" t="s">
        <v>56</v>
      </c>
      <c r="C2" s="66" t="s">
        <v>56</v>
      </c>
      <c r="D2" s="66" t="s">
        <v>57</v>
      </c>
      <c r="E2" s="66" t="s">
        <v>58</v>
      </c>
      <c r="F2" s="83" t="s">
        <v>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82" t="s">
        <v>29</v>
      </c>
      <c r="B3" s="66">
        <v>1124.9000000000001</v>
      </c>
      <c r="C3" s="66">
        <v>1119.56</v>
      </c>
      <c r="D3" s="66">
        <f>AVERAGE(B3,C3)</f>
        <v>1122.23</v>
      </c>
      <c r="E3" s="66">
        <f t="shared" ref="E3:E5" si="0">STDEV(B3:C3)</f>
        <v>3.7759502115362666</v>
      </c>
      <c r="F3" s="83">
        <f t="shared" ref="F3:F5" si="1">E3/D3*100</f>
        <v>0.33646847896921905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82" t="s">
        <v>107</v>
      </c>
      <c r="B4" s="66">
        <v>747.35</v>
      </c>
      <c r="C4" s="66">
        <v>797.95799999999997</v>
      </c>
      <c r="D4" s="66">
        <f t="shared" ref="D4:D5" si="2">AVERAGE(B4:C4)</f>
        <v>772.654</v>
      </c>
      <c r="E4" s="66">
        <f t="shared" si="0"/>
        <v>35.785259982288757</v>
      </c>
      <c r="F4" s="83">
        <f t="shared" si="1"/>
        <v>4.6314728173656974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 thickBot="1" x14ac:dyDescent="0.25">
      <c r="A5" s="82" t="s">
        <v>108</v>
      </c>
      <c r="B5" s="66">
        <v>899.06899999999996</v>
      </c>
      <c r="C5" s="66">
        <v>927.99800000000005</v>
      </c>
      <c r="D5" s="66">
        <f t="shared" si="2"/>
        <v>913.5335</v>
      </c>
      <c r="E5" s="66">
        <f t="shared" si="0"/>
        <v>20.455892072945694</v>
      </c>
      <c r="F5" s="83">
        <f t="shared" si="1"/>
        <v>2.2392054667886501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84"/>
      <c r="B6" s="85" t="s">
        <v>10</v>
      </c>
      <c r="C6" s="29"/>
      <c r="D6" s="29"/>
      <c r="E6" s="29"/>
      <c r="F6" s="8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82" t="s">
        <v>28</v>
      </c>
      <c r="B7" s="66" t="s">
        <v>56</v>
      </c>
      <c r="C7" s="66" t="s">
        <v>56</v>
      </c>
      <c r="D7" s="66" t="s">
        <v>57</v>
      </c>
      <c r="E7" s="66" t="s">
        <v>58</v>
      </c>
      <c r="F7" s="83" t="s">
        <v>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82" t="s">
        <v>29</v>
      </c>
      <c r="B8" s="66">
        <v>4130.1000000000004</v>
      </c>
      <c r="C8" s="66">
        <v>4000.65</v>
      </c>
      <c r="D8" s="66">
        <f t="shared" ref="D8:D10" si="3">AVERAGE(B8:C8)</f>
        <v>4065.375</v>
      </c>
      <c r="E8" s="66">
        <f t="shared" ref="E8:E10" si="4">STDEV(B8:C8)</f>
        <v>91.534972824598768</v>
      </c>
      <c r="F8" s="83">
        <f t="shared" ref="F8:F10" si="5">E8/D8*100</f>
        <v>2.2515751394299115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82" t="s">
        <v>107</v>
      </c>
      <c r="B9" s="66">
        <v>2993.28</v>
      </c>
      <c r="C9" s="66">
        <v>3061.87</v>
      </c>
      <c r="D9" s="66">
        <f t="shared" si="3"/>
        <v>3027.5749999999998</v>
      </c>
      <c r="E9" s="66">
        <f t="shared" si="4"/>
        <v>48.500454121585072</v>
      </c>
      <c r="F9" s="83">
        <f t="shared" si="5"/>
        <v>1.6019571479347356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" thickBot="1" x14ac:dyDescent="0.25">
      <c r="A10" s="87" t="s">
        <v>108</v>
      </c>
      <c r="B10" s="88">
        <v>3344.59</v>
      </c>
      <c r="C10" s="88">
        <v>3594.71</v>
      </c>
      <c r="D10" s="88">
        <f t="shared" si="3"/>
        <v>3469.65</v>
      </c>
      <c r="E10" s="88">
        <f t="shared" si="4"/>
        <v>176.86154811037918</v>
      </c>
      <c r="F10" s="89">
        <f t="shared" si="5"/>
        <v>5.0973887311509571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53"/>
      <c r="B12" s="53" t="s">
        <v>60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G12" sqref="G12"/>
    </sheetView>
  </sheetViews>
  <sheetFormatPr baseColWidth="10" defaultColWidth="14.5" defaultRowHeight="15" customHeight="1" x14ac:dyDescent="0.2"/>
  <cols>
    <col min="1" max="1" width="15.83203125" customWidth="1"/>
    <col min="2" max="6" width="14.5" customWidth="1"/>
  </cols>
  <sheetData>
    <row r="1" spans="1:26" x14ac:dyDescent="0.2">
      <c r="A1" s="54"/>
      <c r="B1" s="55" t="s">
        <v>7</v>
      </c>
      <c r="C1" s="56"/>
      <c r="D1" s="56"/>
      <c r="E1" s="56"/>
      <c r="F1" s="5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x14ac:dyDescent="0.2">
      <c r="A2" s="58" t="s">
        <v>68</v>
      </c>
      <c r="B2" s="47" t="s">
        <v>56</v>
      </c>
      <c r="C2" s="47" t="s">
        <v>56</v>
      </c>
      <c r="D2" s="47" t="s">
        <v>57</v>
      </c>
      <c r="E2" s="47" t="s">
        <v>58</v>
      </c>
      <c r="F2" s="59" t="s">
        <v>59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x14ac:dyDescent="0.2">
      <c r="A3" s="58" t="s">
        <v>69</v>
      </c>
      <c r="B3" s="47">
        <v>0</v>
      </c>
      <c r="C3" s="47">
        <v>0</v>
      </c>
      <c r="D3" s="47">
        <f>AVERAGE(B3,C3)</f>
        <v>0</v>
      </c>
      <c r="E3" s="47">
        <f t="shared" ref="E3:E5" si="0">STDEV(B3:C3)</f>
        <v>0</v>
      </c>
      <c r="F3" s="59" t="e">
        <f t="shared" ref="F3:F7" si="1">E3/D3*100</f>
        <v>#DIV/0!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x14ac:dyDescent="0.2">
      <c r="A4" s="58" t="s">
        <v>70</v>
      </c>
      <c r="B4" s="47">
        <v>61.204999999999998</v>
      </c>
      <c r="C4" s="47">
        <v>86.119200000000006</v>
      </c>
      <c r="D4" s="47">
        <f t="shared" ref="D4:D5" si="2">AVERAGE(B4:C4)</f>
        <v>73.662100000000009</v>
      </c>
      <c r="E4" s="47">
        <f t="shared" si="0"/>
        <v>17.616999767837825</v>
      </c>
      <c r="F4" s="59">
        <f t="shared" si="1"/>
        <v>23.915961896060285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">
      <c r="A5" s="58" t="s">
        <v>71</v>
      </c>
      <c r="B5" s="47">
        <v>72.560599999999994</v>
      </c>
      <c r="C5" s="47">
        <v>97.184200000000004</v>
      </c>
      <c r="D5" s="47">
        <f t="shared" si="2"/>
        <v>84.872399999999999</v>
      </c>
      <c r="E5" s="47">
        <f t="shared" si="0"/>
        <v>17.411514537225077</v>
      </c>
      <c r="F5" s="59">
        <f t="shared" si="1"/>
        <v>20.514931281812554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x14ac:dyDescent="0.2">
      <c r="A6" s="58" t="s">
        <v>33</v>
      </c>
      <c r="B6" s="47">
        <v>165.68600000000001</v>
      </c>
      <c r="C6" s="47">
        <v>259.39400000000001</v>
      </c>
      <c r="D6" s="47">
        <f t="shared" ref="D6:D7" si="3">AVERAGE(B6,C6)</f>
        <v>212.54000000000002</v>
      </c>
      <c r="E6" s="47">
        <f t="shared" ref="E6:E7" si="4">STDEV(B6,C6)</f>
        <v>66.261562251428828</v>
      </c>
      <c r="F6" s="59">
        <f t="shared" si="1"/>
        <v>31.176043216067008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x14ac:dyDescent="0.2">
      <c r="A7" s="58" t="s">
        <v>72</v>
      </c>
      <c r="B7" s="47">
        <v>157.78100000000001</v>
      </c>
      <c r="C7" s="47">
        <v>162.24600000000001</v>
      </c>
      <c r="D7" s="47">
        <f t="shared" si="3"/>
        <v>160.01350000000002</v>
      </c>
      <c r="E7" s="47">
        <f t="shared" si="4"/>
        <v>3.1572317779979371</v>
      </c>
      <c r="F7" s="59">
        <f t="shared" si="1"/>
        <v>1.9731033806509681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x14ac:dyDescent="0.2">
      <c r="A8" s="60"/>
      <c r="B8" s="43" t="s">
        <v>10</v>
      </c>
      <c r="C8" s="44"/>
      <c r="D8" s="44"/>
      <c r="E8" s="44"/>
      <c r="F8" s="61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x14ac:dyDescent="0.2">
      <c r="A9" s="58" t="s">
        <v>68</v>
      </c>
      <c r="B9" s="47" t="s">
        <v>56</v>
      </c>
      <c r="C9" s="47" t="s">
        <v>56</v>
      </c>
      <c r="D9" s="47" t="s">
        <v>57</v>
      </c>
      <c r="E9" s="47" t="s">
        <v>58</v>
      </c>
      <c r="F9" s="59" t="s">
        <v>59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x14ac:dyDescent="0.2">
      <c r="A10" s="58" t="s">
        <v>69</v>
      </c>
      <c r="B10" s="47">
        <v>0</v>
      </c>
      <c r="C10" s="47">
        <v>0</v>
      </c>
      <c r="D10" s="47">
        <f t="shared" ref="D10:D12" si="5">AVERAGE(B10:C10)</f>
        <v>0</v>
      </c>
      <c r="E10" s="47">
        <f t="shared" ref="E10:E12" si="6">STDEV(B10:C10)</f>
        <v>0</v>
      </c>
      <c r="F10" s="59" t="e">
        <f t="shared" ref="F10:F14" si="7">E10/D10*100</f>
        <v>#DIV/0!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x14ac:dyDescent="0.2">
      <c r="A11" s="58" t="s">
        <v>70</v>
      </c>
      <c r="B11" s="47">
        <v>286.91699999999997</v>
      </c>
      <c r="C11" s="47">
        <v>508.31299999999999</v>
      </c>
      <c r="D11" s="47">
        <f t="shared" si="5"/>
        <v>397.61500000000001</v>
      </c>
      <c r="E11" s="47">
        <f t="shared" si="6"/>
        <v>156.55061292757671</v>
      </c>
      <c r="F11" s="59">
        <f t="shared" si="7"/>
        <v>39.372411233876164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x14ac:dyDescent="0.2">
      <c r="A12" s="58" t="s">
        <v>71</v>
      </c>
      <c r="B12" s="47">
        <v>414.13600000000002</v>
      </c>
      <c r="C12" s="47">
        <v>414.298</v>
      </c>
      <c r="D12" s="47">
        <f t="shared" si="5"/>
        <v>414.21699999999998</v>
      </c>
      <c r="E12" s="47">
        <f t="shared" si="6"/>
        <v>0.11455129855220494</v>
      </c>
      <c r="F12" s="59">
        <f t="shared" si="7"/>
        <v>2.7654900342623537E-2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x14ac:dyDescent="0.2">
      <c r="A13" s="58" t="s">
        <v>33</v>
      </c>
      <c r="B13" s="47">
        <v>711.87400000000002</v>
      </c>
      <c r="C13" s="47">
        <v>965.947</v>
      </c>
      <c r="D13" s="47">
        <f t="shared" ref="D13:D14" si="8">AVERAGE(B13,C13)</f>
        <v>838.91049999999996</v>
      </c>
      <c r="E13" s="47">
        <f t="shared" ref="E13:E14" si="9">STDEV(B13,C13)</f>
        <v>179.65674121641047</v>
      </c>
      <c r="F13" s="59">
        <f t="shared" si="7"/>
        <v>21.415483679893203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x14ac:dyDescent="0.2">
      <c r="A14" s="62" t="s">
        <v>72</v>
      </c>
      <c r="B14" s="63">
        <v>664.99</v>
      </c>
      <c r="C14" s="63">
        <v>747.76400000000001</v>
      </c>
      <c r="D14" s="63">
        <f t="shared" si="8"/>
        <v>706.37699999999995</v>
      </c>
      <c r="E14" s="63">
        <f t="shared" si="9"/>
        <v>58.530056705935287</v>
      </c>
      <c r="F14" s="64">
        <f t="shared" si="7"/>
        <v>8.285951652720188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x14ac:dyDescent="0.2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x14ac:dyDescent="0.2">
      <c r="B16" s="47" t="s">
        <v>73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x14ac:dyDescent="0.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x14ac:dyDescent="0.2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x14ac:dyDescent="0.2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x14ac:dyDescent="0.2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75" customHeight="1" x14ac:dyDescent="0.2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75" customHeight="1" x14ac:dyDescent="0.2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75" customHeight="1" x14ac:dyDescent="0.2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 x14ac:dyDescent="0.2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 x14ac:dyDescent="0.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 x14ac:dyDescent="0.2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 x14ac:dyDescent="0.2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 x14ac:dyDescent="0.2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75" customHeight="1" x14ac:dyDescent="0.2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75" customHeight="1" x14ac:dyDescent="0.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75" customHeight="1" x14ac:dyDescent="0.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75" customHeight="1" x14ac:dyDescent="0.2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75" customHeight="1" x14ac:dyDescent="0.2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75" customHeight="1" x14ac:dyDescent="0.2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75" customHeight="1" x14ac:dyDescent="0.2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75" customHeight="1" x14ac:dyDescent="0.2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5.75" customHeight="1" x14ac:dyDescent="0.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5.75" customHeight="1" x14ac:dyDescent="0.2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5.75" customHeight="1" x14ac:dyDescent="0.2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5.75" customHeight="1" x14ac:dyDescent="0.2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5.75" customHeight="1" x14ac:dyDescent="0.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5.75" customHeight="1" x14ac:dyDescent="0.2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5.75" customHeight="1" x14ac:dyDescent="0.2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5.75" customHeight="1" x14ac:dyDescent="0.2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5.75" customHeight="1" x14ac:dyDescent="0.2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5.75" customHeight="1" x14ac:dyDescent="0.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75" customHeight="1" x14ac:dyDescent="0.2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75" customHeight="1" x14ac:dyDescent="0.2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5.75" customHeight="1" x14ac:dyDescent="0.2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5.75" customHeight="1" x14ac:dyDescent="0.2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5.75" customHeight="1" x14ac:dyDescent="0.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5.75" customHeight="1" x14ac:dyDescent="0.2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5.75" customHeight="1" x14ac:dyDescent="0.2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75" customHeight="1" x14ac:dyDescent="0.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75" customHeight="1" x14ac:dyDescent="0.2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5.75" customHeight="1" x14ac:dyDescent="0.2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5.75" customHeight="1" x14ac:dyDescent="0.2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5.75" customHeight="1" x14ac:dyDescent="0.2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5.75" customHeight="1" x14ac:dyDescent="0.2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5.75" customHeight="1" x14ac:dyDescent="0.2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75" customHeight="1" x14ac:dyDescent="0.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5.75" customHeight="1" x14ac:dyDescent="0.2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75" customHeight="1" x14ac:dyDescent="0.2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5.75" customHeight="1" x14ac:dyDescent="0.2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75" customHeight="1" x14ac:dyDescent="0.2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75" customHeight="1" x14ac:dyDescent="0.2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75" customHeight="1" x14ac:dyDescent="0.2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75" customHeight="1" x14ac:dyDescent="0.2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75" customHeight="1" x14ac:dyDescent="0.2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75" customHeight="1" x14ac:dyDescent="0.2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75" customHeight="1" x14ac:dyDescent="0.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75" customHeight="1" x14ac:dyDescent="0.2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75" customHeight="1" x14ac:dyDescent="0.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75" customHeight="1" x14ac:dyDescent="0.2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75" customHeight="1" x14ac:dyDescent="0.2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75" customHeight="1" x14ac:dyDescent="0.2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75" customHeight="1" x14ac:dyDescent="0.2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75" customHeight="1" x14ac:dyDescent="0.2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75" customHeight="1" x14ac:dyDescent="0.2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5.75" customHeight="1" x14ac:dyDescent="0.2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75" customHeight="1" x14ac:dyDescent="0.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75" customHeight="1" x14ac:dyDescent="0.2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5.75" customHeight="1" x14ac:dyDescent="0.2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75" customHeight="1" x14ac:dyDescent="0.2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75" customHeight="1" x14ac:dyDescent="0.2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75" customHeight="1" x14ac:dyDescent="0.2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75" customHeight="1" x14ac:dyDescent="0.2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75" customHeight="1" x14ac:dyDescent="0.2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75" customHeight="1" x14ac:dyDescent="0.2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75" customHeight="1" x14ac:dyDescent="0.2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75" customHeight="1" x14ac:dyDescent="0.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75" customHeight="1" x14ac:dyDescent="0.2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75" customHeight="1" x14ac:dyDescent="0.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75" customHeight="1" x14ac:dyDescent="0.2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75" customHeight="1" x14ac:dyDescent="0.2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75" customHeight="1" x14ac:dyDescent="0.2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75" customHeight="1" x14ac:dyDescent="0.2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75" customHeight="1" x14ac:dyDescent="0.2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75" customHeight="1" x14ac:dyDescent="0.2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75" customHeight="1" x14ac:dyDescent="0.2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75" customHeight="1" x14ac:dyDescent="0.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75" customHeight="1" x14ac:dyDescent="0.2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75" customHeight="1" x14ac:dyDescent="0.2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75" customHeight="1" x14ac:dyDescent="0.2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75" customHeight="1" x14ac:dyDescent="0.2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75" customHeight="1" x14ac:dyDescent="0.2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75" customHeight="1" x14ac:dyDescent="0.2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75" customHeight="1" x14ac:dyDescent="0.2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75" customHeight="1" x14ac:dyDescent="0.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75" customHeight="1" x14ac:dyDescent="0.2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75" customHeight="1" x14ac:dyDescent="0.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75" customHeight="1" x14ac:dyDescent="0.2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75" customHeight="1" x14ac:dyDescent="0.2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75" customHeight="1" x14ac:dyDescent="0.2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75" customHeight="1" x14ac:dyDescent="0.2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75" customHeight="1" x14ac:dyDescent="0.2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75" customHeight="1" x14ac:dyDescent="0.2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75" customHeight="1" x14ac:dyDescent="0.2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75" customHeight="1" x14ac:dyDescent="0.2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75" customHeight="1" x14ac:dyDescent="0.2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75" customHeight="1" x14ac:dyDescent="0.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75" customHeight="1" x14ac:dyDescent="0.2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75" customHeight="1" x14ac:dyDescent="0.2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75" customHeight="1" x14ac:dyDescent="0.2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75" customHeight="1" x14ac:dyDescent="0.2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75" customHeight="1" x14ac:dyDescent="0.2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75" customHeight="1" x14ac:dyDescent="0.2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75" customHeight="1" x14ac:dyDescent="0.2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75" customHeight="1" x14ac:dyDescent="0.2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75" customHeight="1" x14ac:dyDescent="0.2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75" customHeight="1" x14ac:dyDescent="0.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75" customHeight="1" x14ac:dyDescent="0.2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75" customHeight="1" x14ac:dyDescent="0.2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75" customHeight="1" x14ac:dyDescent="0.2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75" customHeight="1" x14ac:dyDescent="0.2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75" customHeight="1" x14ac:dyDescent="0.2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75" customHeight="1" x14ac:dyDescent="0.2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75" customHeight="1" x14ac:dyDescent="0.2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75" customHeight="1" x14ac:dyDescent="0.2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75" customHeight="1" x14ac:dyDescent="0.2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75" customHeight="1" x14ac:dyDescent="0.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75" customHeight="1" x14ac:dyDescent="0.2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75" customHeight="1" x14ac:dyDescent="0.2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75" customHeight="1" x14ac:dyDescent="0.2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75" customHeight="1" x14ac:dyDescent="0.2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75" customHeight="1" x14ac:dyDescent="0.2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75" customHeight="1" x14ac:dyDescent="0.2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75" customHeight="1" x14ac:dyDescent="0.2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75" customHeight="1" x14ac:dyDescent="0.2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75" customHeight="1" x14ac:dyDescent="0.2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75" customHeight="1" x14ac:dyDescent="0.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75" customHeight="1" x14ac:dyDescent="0.2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75" customHeight="1" x14ac:dyDescent="0.2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75" customHeight="1" x14ac:dyDescent="0.2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75" customHeight="1" x14ac:dyDescent="0.2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75" customHeight="1" x14ac:dyDescent="0.2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75" customHeight="1" x14ac:dyDescent="0.2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75" customHeight="1" x14ac:dyDescent="0.2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75" customHeight="1" x14ac:dyDescent="0.2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75" customHeight="1" x14ac:dyDescent="0.2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75" customHeight="1" x14ac:dyDescent="0.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75" customHeight="1" x14ac:dyDescent="0.2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75" customHeight="1" x14ac:dyDescent="0.2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75" customHeight="1" x14ac:dyDescent="0.2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75" customHeight="1" x14ac:dyDescent="0.2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75" customHeight="1" x14ac:dyDescent="0.2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75" customHeight="1" x14ac:dyDescent="0.2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75" customHeight="1" x14ac:dyDescent="0.2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75" customHeight="1" x14ac:dyDescent="0.2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75" customHeight="1" x14ac:dyDescent="0.2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75" customHeight="1" x14ac:dyDescent="0.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75" customHeight="1" x14ac:dyDescent="0.2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75" customHeight="1" x14ac:dyDescent="0.2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75" customHeight="1" x14ac:dyDescent="0.2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75" customHeight="1" x14ac:dyDescent="0.2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75" customHeight="1" x14ac:dyDescent="0.2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75" customHeight="1" x14ac:dyDescent="0.2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75" customHeight="1" x14ac:dyDescent="0.2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75" customHeight="1" x14ac:dyDescent="0.2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75" customHeight="1" x14ac:dyDescent="0.2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75" customHeight="1" x14ac:dyDescent="0.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75" customHeight="1" x14ac:dyDescent="0.2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75" customHeight="1" x14ac:dyDescent="0.2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75" customHeight="1" x14ac:dyDescent="0.2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75" customHeight="1" x14ac:dyDescent="0.2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75" customHeight="1" x14ac:dyDescent="0.2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75" customHeight="1" x14ac:dyDescent="0.2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75" customHeight="1" x14ac:dyDescent="0.2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75" customHeight="1" x14ac:dyDescent="0.2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75" customHeight="1" x14ac:dyDescent="0.2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75" customHeight="1" x14ac:dyDescent="0.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75" customHeight="1" x14ac:dyDescent="0.2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75" customHeight="1" x14ac:dyDescent="0.2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75" customHeight="1" x14ac:dyDescent="0.2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75" customHeight="1" x14ac:dyDescent="0.2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75" customHeight="1" x14ac:dyDescent="0.2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75" customHeight="1" x14ac:dyDescent="0.2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75" customHeight="1" x14ac:dyDescent="0.2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75" customHeight="1" x14ac:dyDescent="0.2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75" customHeight="1" x14ac:dyDescent="0.2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75" customHeight="1" x14ac:dyDescent="0.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75" customHeight="1" x14ac:dyDescent="0.2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75" customHeight="1" x14ac:dyDescent="0.2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75" customHeight="1" x14ac:dyDescent="0.2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75" customHeight="1" x14ac:dyDescent="0.2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75" customHeight="1" x14ac:dyDescent="0.2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75" customHeight="1" x14ac:dyDescent="0.2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75" customHeight="1" x14ac:dyDescent="0.2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75" customHeight="1" x14ac:dyDescent="0.2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/>
  </sheetViews>
  <sheetFormatPr baseColWidth="10" defaultColWidth="14.5" defaultRowHeight="15" customHeight="1" x14ac:dyDescent="0.2"/>
  <cols>
    <col min="1" max="6" width="14.5" customWidth="1"/>
  </cols>
  <sheetData>
    <row r="1" spans="1:7" ht="15" customHeight="1" x14ac:dyDescent="0.2">
      <c r="A1" s="34"/>
      <c r="B1" s="28" t="s">
        <v>7</v>
      </c>
      <c r="C1" s="29"/>
      <c r="D1" s="29"/>
      <c r="E1" s="29"/>
      <c r="F1" s="29"/>
      <c r="G1" s="15"/>
    </row>
    <row r="2" spans="1:7" ht="15" customHeight="1" x14ac:dyDescent="0.2">
      <c r="A2" s="35" t="s">
        <v>36</v>
      </c>
      <c r="B2" s="3" t="s">
        <v>56</v>
      </c>
      <c r="C2" s="3" t="s">
        <v>56</v>
      </c>
      <c r="D2" s="3" t="s">
        <v>56</v>
      </c>
      <c r="E2" s="3" t="s">
        <v>57</v>
      </c>
      <c r="F2" s="3" t="s">
        <v>58</v>
      </c>
      <c r="G2" s="17" t="s">
        <v>59</v>
      </c>
    </row>
    <row r="3" spans="1:7" ht="15" customHeight="1" x14ac:dyDescent="0.2">
      <c r="A3" s="35" t="s">
        <v>31</v>
      </c>
      <c r="B3" s="3">
        <v>964.10799999999995</v>
      </c>
      <c r="C3" s="3">
        <v>862.28499999999997</v>
      </c>
      <c r="D3" s="3">
        <v>1023.65</v>
      </c>
      <c r="E3" s="3">
        <f>AVERAGE(B3,C3,D3)</f>
        <v>950.01433333333341</v>
      </c>
      <c r="F3" s="3">
        <f t="shared" ref="F3:F5" si="0">STDEV(B3:C3:D3)</f>
        <v>81.600486434416155</v>
      </c>
      <c r="G3" s="17">
        <f t="shared" ref="G3:G5" si="1">F3/E3*100</f>
        <v>8.5893952934481508</v>
      </c>
    </row>
    <row r="4" spans="1:7" ht="15" customHeight="1" x14ac:dyDescent="0.2">
      <c r="A4" s="35" t="s">
        <v>74</v>
      </c>
      <c r="B4" s="3">
        <v>1035.22</v>
      </c>
      <c r="C4" s="3">
        <v>885.04499999999996</v>
      </c>
      <c r="D4" s="3">
        <v>809.23500000000001</v>
      </c>
      <c r="E4" s="3">
        <f t="shared" ref="E4:E5" si="2">AVERAGE(B4:C4:D4)</f>
        <v>909.83333333333337</v>
      </c>
      <c r="F4" s="3">
        <f t="shared" si="0"/>
        <v>81.600486434416155</v>
      </c>
      <c r="G4" s="17">
        <f t="shared" si="1"/>
        <v>8.9687290457317612</v>
      </c>
    </row>
    <row r="5" spans="1:7" ht="15" customHeight="1" x14ac:dyDescent="0.2">
      <c r="A5" s="35" t="s">
        <v>75</v>
      </c>
      <c r="B5" s="3">
        <v>780.39499999999998</v>
      </c>
      <c r="C5" s="3">
        <v>738.66800000000001</v>
      </c>
      <c r="D5" s="3">
        <v>834.33799999999997</v>
      </c>
      <c r="E5" s="3">
        <f t="shared" si="2"/>
        <v>909.83333333333337</v>
      </c>
      <c r="F5" s="3">
        <f t="shared" si="0"/>
        <v>81.600486434416155</v>
      </c>
      <c r="G5" s="17">
        <f t="shared" si="1"/>
        <v>8.9687290457317612</v>
      </c>
    </row>
    <row r="6" spans="1:7" ht="15" customHeight="1" x14ac:dyDescent="0.2">
      <c r="A6" s="34"/>
      <c r="B6" s="28" t="s">
        <v>10</v>
      </c>
      <c r="C6" s="29"/>
      <c r="D6" s="29"/>
      <c r="E6" s="29"/>
      <c r="F6" s="29"/>
      <c r="G6" s="15"/>
    </row>
    <row r="7" spans="1:7" ht="15" customHeight="1" x14ac:dyDescent="0.2">
      <c r="A7" s="35" t="s">
        <v>36</v>
      </c>
      <c r="B7" s="3" t="s">
        <v>56</v>
      </c>
      <c r="C7" s="3" t="s">
        <v>56</v>
      </c>
      <c r="D7" s="3" t="s">
        <v>56</v>
      </c>
      <c r="E7" s="3" t="s">
        <v>57</v>
      </c>
      <c r="F7" s="3" t="s">
        <v>58</v>
      </c>
      <c r="G7" s="17" t="s">
        <v>59</v>
      </c>
    </row>
    <row r="8" spans="1:7" ht="15" customHeight="1" x14ac:dyDescent="0.2">
      <c r="A8" s="35" t="s">
        <v>31</v>
      </c>
      <c r="B8" s="3">
        <v>1029.6300000000001</v>
      </c>
      <c r="C8" s="3">
        <v>854.37099999999998</v>
      </c>
      <c r="D8" s="3">
        <v>1112.02</v>
      </c>
      <c r="E8" s="3">
        <f t="shared" ref="E8:E10" si="3">AVERAGE(B8:C8:D8)</f>
        <v>998.67366666666669</v>
      </c>
      <c r="F8" s="3">
        <f t="shared" ref="F8:F10" si="4">STDEV(B8:C8:D8)</f>
        <v>131.58446994358118</v>
      </c>
      <c r="G8" s="17">
        <f t="shared" ref="G8:G10" si="5">F8/E8*100</f>
        <v>13.175922659779204</v>
      </c>
    </row>
    <row r="9" spans="1:7" ht="15" customHeight="1" x14ac:dyDescent="0.2">
      <c r="A9" s="35" t="s">
        <v>74</v>
      </c>
      <c r="B9" s="3">
        <v>1178.02</v>
      </c>
      <c r="C9" s="3">
        <v>1009.75</v>
      </c>
      <c r="D9" s="3">
        <v>986.50199999999995</v>
      </c>
      <c r="E9" s="3">
        <f t="shared" si="3"/>
        <v>998.67366666666669</v>
      </c>
      <c r="F9" s="3">
        <f t="shared" si="4"/>
        <v>131.58446994358118</v>
      </c>
      <c r="G9" s="17">
        <f t="shared" si="5"/>
        <v>13.175922659779204</v>
      </c>
    </row>
    <row r="10" spans="1:7" ht="15" customHeight="1" x14ac:dyDescent="0.2">
      <c r="A10" s="40" t="s">
        <v>75</v>
      </c>
      <c r="B10" s="41">
        <v>1017.65</v>
      </c>
      <c r="C10" s="41">
        <v>926.34500000000003</v>
      </c>
      <c r="D10" s="41">
        <v>1050.2</v>
      </c>
      <c r="E10" s="41">
        <f t="shared" si="3"/>
        <v>998.67366666666669</v>
      </c>
      <c r="F10" s="41">
        <f t="shared" si="4"/>
        <v>131.58446994358118</v>
      </c>
      <c r="G10" s="20">
        <f t="shared" si="5"/>
        <v>13.175922659779204</v>
      </c>
    </row>
    <row r="11" spans="1:7" ht="15" customHeight="1" x14ac:dyDescent="0.2">
      <c r="A11" s="3"/>
      <c r="B11" s="3"/>
      <c r="C11" s="3"/>
      <c r="D11" s="3"/>
      <c r="E11" s="3"/>
      <c r="F11" s="3"/>
      <c r="G11" s="65"/>
    </row>
    <row r="12" spans="1:7" ht="15" customHeight="1" x14ac:dyDescent="0.2">
      <c r="A12" s="3"/>
      <c r="B12" s="3" t="s">
        <v>62</v>
      </c>
      <c r="C12" s="3"/>
      <c r="D12" s="3"/>
      <c r="E12" s="3"/>
      <c r="F12" s="3"/>
      <c r="G12" s="65"/>
    </row>
    <row r="13" spans="1:7" ht="15" customHeight="1" x14ac:dyDescent="0.2">
      <c r="A13" s="3"/>
      <c r="B13" s="3"/>
      <c r="C13" s="3"/>
      <c r="D13" s="3"/>
      <c r="E13" s="3"/>
      <c r="F13" s="3"/>
      <c r="G13" s="65"/>
    </row>
    <row r="14" spans="1:7" ht="15" customHeight="1" x14ac:dyDescent="0.2">
      <c r="A14" s="3"/>
      <c r="B14" s="3"/>
      <c r="C14" s="3"/>
      <c r="D14" s="3"/>
      <c r="E14" s="3"/>
      <c r="F14" s="3"/>
      <c r="G14" s="65"/>
    </row>
    <row r="15" spans="1:7" ht="15" customHeight="1" x14ac:dyDescent="0.2">
      <c r="A15" s="65"/>
      <c r="B15" s="65"/>
      <c r="C15" s="65"/>
      <c r="D15" s="65"/>
      <c r="E15" s="65"/>
      <c r="F15" s="65"/>
      <c r="G15" s="65"/>
    </row>
    <row r="16" spans="1:7" ht="15" customHeight="1" x14ac:dyDescent="0.2">
      <c r="A16" s="65"/>
      <c r="B16" s="65"/>
      <c r="C16" s="65"/>
      <c r="D16" s="65"/>
      <c r="E16" s="65"/>
      <c r="F16" s="65"/>
      <c r="G16" s="65"/>
    </row>
    <row r="17" spans="1:7" ht="15" customHeight="1" x14ac:dyDescent="0.2">
      <c r="A17" s="65"/>
      <c r="B17" s="65"/>
      <c r="C17" s="65"/>
      <c r="D17" s="65"/>
      <c r="E17" s="65"/>
      <c r="F17" s="65"/>
      <c r="G17" s="65"/>
    </row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>
      <selection sqref="A1:G14"/>
    </sheetView>
  </sheetViews>
  <sheetFormatPr baseColWidth="10" defaultColWidth="14.5" defaultRowHeight="15" customHeight="1" x14ac:dyDescent="0.2"/>
  <cols>
    <col min="1" max="1" width="14.83203125" customWidth="1"/>
    <col min="2" max="2" width="10.33203125" customWidth="1"/>
    <col min="3" max="3" width="10.5" customWidth="1"/>
    <col min="4" max="4" width="10.1640625" customWidth="1"/>
    <col min="5" max="5" width="10.33203125" customWidth="1"/>
    <col min="6" max="6" width="10.83203125" customWidth="1"/>
    <col min="7" max="7" width="10.5" customWidth="1"/>
  </cols>
  <sheetData>
    <row r="1" spans="1:7" ht="15" customHeight="1" x14ac:dyDescent="0.2">
      <c r="A1" s="42"/>
      <c r="B1" s="43" t="s">
        <v>7</v>
      </c>
      <c r="C1" s="44"/>
      <c r="D1" s="44"/>
      <c r="E1" s="44"/>
      <c r="F1" s="44"/>
      <c r="G1" s="45"/>
    </row>
    <row r="2" spans="1:7" ht="15" customHeight="1" x14ac:dyDescent="0.2">
      <c r="A2" s="46" t="s">
        <v>40</v>
      </c>
      <c r="B2" s="47" t="s">
        <v>56</v>
      </c>
      <c r="C2" s="47" t="s">
        <v>56</v>
      </c>
      <c r="D2" s="47" t="s">
        <v>56</v>
      </c>
      <c r="E2" s="47" t="s">
        <v>57</v>
      </c>
      <c r="F2" s="47" t="s">
        <v>58</v>
      </c>
      <c r="G2" s="48" t="s">
        <v>59</v>
      </c>
    </row>
    <row r="3" spans="1:7" ht="15" customHeight="1" x14ac:dyDescent="0.2">
      <c r="A3" s="46" t="s">
        <v>76</v>
      </c>
      <c r="B3" s="47">
        <v>939.45100000000002</v>
      </c>
      <c r="C3" s="47">
        <v>1048.67</v>
      </c>
      <c r="D3" s="47">
        <v>1906.61</v>
      </c>
      <c r="E3" s="47">
        <f t="shared" ref="E3:E7" si="0">AVERAGE(B3,C3,D3)</f>
        <v>1298.2436666666665</v>
      </c>
      <c r="F3" s="47">
        <f t="shared" ref="F3:F7" si="1">STDEV(B3:C3:D3)</f>
        <v>529.68329607448811</v>
      </c>
      <c r="G3" s="48">
        <f t="shared" ref="G3:G7" si="2">F3/E3*100</f>
        <v>40.799990762480505</v>
      </c>
    </row>
    <row r="4" spans="1:7" ht="15" customHeight="1" x14ac:dyDescent="0.2">
      <c r="A4" s="46" t="s">
        <v>77</v>
      </c>
      <c r="B4" s="47">
        <v>957.23800000000006</v>
      </c>
      <c r="C4" s="47">
        <v>930.654</v>
      </c>
      <c r="D4" s="47">
        <v>884.678</v>
      </c>
      <c r="E4" s="47">
        <f t="shared" si="0"/>
        <v>924.19</v>
      </c>
      <c r="F4" s="47">
        <f t="shared" si="1"/>
        <v>529.68329607448811</v>
      </c>
      <c r="G4" s="48">
        <f t="shared" si="2"/>
        <v>57.313246851241416</v>
      </c>
    </row>
    <row r="5" spans="1:7" ht="15" customHeight="1" x14ac:dyDescent="0.2">
      <c r="A5" s="46" t="s">
        <v>78</v>
      </c>
      <c r="B5" s="47">
        <v>735.322</v>
      </c>
      <c r="C5" s="47">
        <v>797.33399999999995</v>
      </c>
      <c r="D5" s="47">
        <v>730.18899999999996</v>
      </c>
      <c r="E5" s="47">
        <f t="shared" si="0"/>
        <v>754.28166666666664</v>
      </c>
      <c r="F5" s="47">
        <f t="shared" si="1"/>
        <v>529.68329607448811</v>
      </c>
      <c r="G5" s="48">
        <f t="shared" si="2"/>
        <v>70.223541083170275</v>
      </c>
    </row>
    <row r="6" spans="1:7" ht="15" customHeight="1" x14ac:dyDescent="0.2">
      <c r="A6" s="46" t="s">
        <v>79</v>
      </c>
      <c r="B6" s="47">
        <v>603.11699999999996</v>
      </c>
      <c r="C6" s="47">
        <v>607.33399999999995</v>
      </c>
      <c r="D6" s="47">
        <v>634.04200000000003</v>
      </c>
      <c r="E6" s="47">
        <f t="shared" si="0"/>
        <v>614.83100000000002</v>
      </c>
      <c r="F6" s="47">
        <f t="shared" si="1"/>
        <v>529.68329607448811</v>
      </c>
      <c r="G6" s="48">
        <f t="shared" si="2"/>
        <v>86.151039240781301</v>
      </c>
    </row>
    <row r="7" spans="1:7" ht="15" customHeight="1" x14ac:dyDescent="0.2">
      <c r="A7" s="46" t="s">
        <v>80</v>
      </c>
      <c r="B7" s="47">
        <v>418.19600000000003</v>
      </c>
      <c r="C7" s="47">
        <v>477.92099999999999</v>
      </c>
      <c r="D7" s="47">
        <v>465.654</v>
      </c>
      <c r="E7" s="47">
        <f t="shared" si="0"/>
        <v>453.92366666666663</v>
      </c>
      <c r="F7" s="47">
        <f t="shared" si="1"/>
        <v>529.68329607448811</v>
      </c>
      <c r="G7" s="48">
        <f t="shared" si="2"/>
        <v>116.68994920757341</v>
      </c>
    </row>
    <row r="8" spans="1:7" ht="15" customHeight="1" x14ac:dyDescent="0.2">
      <c r="A8" s="42"/>
      <c r="B8" s="43" t="s">
        <v>10</v>
      </c>
      <c r="C8" s="44"/>
      <c r="D8" s="44"/>
      <c r="E8" s="44"/>
      <c r="F8" s="44"/>
      <c r="G8" s="45"/>
    </row>
    <row r="9" spans="1:7" ht="15" customHeight="1" x14ac:dyDescent="0.2">
      <c r="A9" s="46" t="s">
        <v>40</v>
      </c>
      <c r="B9" s="47" t="s">
        <v>56</v>
      </c>
      <c r="C9" s="47" t="s">
        <v>56</v>
      </c>
      <c r="D9" s="47" t="s">
        <v>56</v>
      </c>
      <c r="E9" s="47" t="s">
        <v>57</v>
      </c>
      <c r="F9" s="47" t="s">
        <v>58</v>
      </c>
      <c r="G9" s="48" t="s">
        <v>59</v>
      </c>
    </row>
    <row r="10" spans="1:7" ht="15" customHeight="1" x14ac:dyDescent="0.2">
      <c r="A10" s="46" t="s">
        <v>76</v>
      </c>
      <c r="B10" s="47">
        <v>881.09500000000003</v>
      </c>
      <c r="C10" s="47">
        <v>1288.18</v>
      </c>
      <c r="D10" s="47">
        <v>1556.37</v>
      </c>
      <c r="E10" s="47">
        <f t="shared" ref="E10:E14" si="3">AVERAGE(B10:C10:D10)</f>
        <v>1241.8816666666667</v>
      </c>
      <c r="F10" s="47">
        <f t="shared" ref="F10:F14" si="4">STDEV(B10:C10:D10)</f>
        <v>340.00990155925348</v>
      </c>
      <c r="G10" s="48">
        <f t="shared" ref="G10:G14" si="5">F10/E10*100</f>
        <v>27.378607051336356</v>
      </c>
    </row>
    <row r="11" spans="1:7" ht="15" customHeight="1" x14ac:dyDescent="0.2">
      <c r="A11" s="46" t="s">
        <v>77</v>
      </c>
      <c r="B11" s="47">
        <v>918.19600000000003</v>
      </c>
      <c r="C11" s="47">
        <v>952.06500000000005</v>
      </c>
      <c r="D11" s="47">
        <v>913.87800000000004</v>
      </c>
      <c r="E11" s="47">
        <f t="shared" si="3"/>
        <v>1241.8816666666667</v>
      </c>
      <c r="F11" s="47">
        <f t="shared" si="4"/>
        <v>340.00990155925348</v>
      </c>
      <c r="G11" s="48">
        <f t="shared" si="5"/>
        <v>27.378607051336356</v>
      </c>
    </row>
    <row r="12" spans="1:7" ht="15" customHeight="1" x14ac:dyDescent="0.2">
      <c r="A12" s="46" t="s">
        <v>78</v>
      </c>
      <c r="B12" s="47">
        <v>882.83699999999999</v>
      </c>
      <c r="C12" s="47">
        <v>831.36699999999996</v>
      </c>
      <c r="D12" s="47">
        <v>769.65700000000004</v>
      </c>
      <c r="E12" s="47">
        <f t="shared" si="3"/>
        <v>1241.8816666666667</v>
      </c>
      <c r="F12" s="47">
        <f t="shared" si="4"/>
        <v>340.00990155925348</v>
      </c>
      <c r="G12" s="48">
        <f t="shared" si="5"/>
        <v>27.378607051336356</v>
      </c>
    </row>
    <row r="13" spans="1:7" ht="15" customHeight="1" x14ac:dyDescent="0.2">
      <c r="A13" s="46" t="s">
        <v>79</v>
      </c>
      <c r="B13" s="47">
        <v>651.90800000000002</v>
      </c>
      <c r="C13" s="47">
        <v>694.01</v>
      </c>
      <c r="D13" s="47">
        <v>667.90899999999999</v>
      </c>
      <c r="E13" s="47">
        <f t="shared" si="3"/>
        <v>1241.8816666666667</v>
      </c>
      <c r="F13" s="47">
        <f t="shared" si="4"/>
        <v>340.00990155925348</v>
      </c>
      <c r="G13" s="48">
        <f t="shared" si="5"/>
        <v>27.378607051336356</v>
      </c>
    </row>
    <row r="14" spans="1:7" ht="15" customHeight="1" x14ac:dyDescent="0.2">
      <c r="A14" s="50" t="s">
        <v>80</v>
      </c>
      <c r="B14" s="51">
        <v>519.93899999999996</v>
      </c>
      <c r="C14" s="51">
        <v>546.447</v>
      </c>
      <c r="D14" s="51">
        <v>561.21299999999997</v>
      </c>
      <c r="E14" s="51">
        <f t="shared" si="3"/>
        <v>1241.8816666666667</v>
      </c>
      <c r="F14" s="51">
        <f t="shared" si="4"/>
        <v>340.00990155925348</v>
      </c>
      <c r="G14" s="52">
        <f t="shared" si="5"/>
        <v>27.378607051336356</v>
      </c>
    </row>
    <row r="16" spans="1:7" ht="15" customHeight="1" x14ac:dyDescent="0.2">
      <c r="B16" s="3" t="s">
        <v>62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B8" sqref="B8"/>
    </sheetView>
  </sheetViews>
  <sheetFormatPr baseColWidth="10" defaultColWidth="14.5" defaultRowHeight="15" customHeight="1" x14ac:dyDescent="0.2"/>
  <cols>
    <col min="1" max="1" width="15.5" customWidth="1"/>
    <col min="2" max="2" width="9.83203125" customWidth="1"/>
    <col min="3" max="7" width="8.6640625" customWidth="1"/>
    <col min="8" max="8" width="8.1640625" customWidth="1"/>
    <col min="9" max="9" width="22.1640625" customWidth="1"/>
    <col min="10" max="10" width="32.1640625" customWidth="1"/>
    <col min="11" max="26" width="8.6640625" customWidth="1"/>
  </cols>
  <sheetData>
    <row r="1" spans="1:26" x14ac:dyDescent="0.2">
      <c r="A1" s="21"/>
      <c r="B1" s="22" t="s">
        <v>7</v>
      </c>
      <c r="C1" s="23"/>
      <c r="D1" s="23"/>
      <c r="E1" s="23"/>
      <c r="F1" s="2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5" t="s">
        <v>81</v>
      </c>
      <c r="B2" s="3" t="s">
        <v>56</v>
      </c>
      <c r="C2" s="3" t="s">
        <v>56</v>
      </c>
      <c r="D2" s="3" t="s">
        <v>57</v>
      </c>
      <c r="E2" s="3" t="s">
        <v>58</v>
      </c>
      <c r="F2" s="26" t="s">
        <v>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5">
        <v>10</v>
      </c>
      <c r="B3" s="3">
        <v>1487.95</v>
      </c>
      <c r="C3" s="3">
        <v>1385.89</v>
      </c>
      <c r="D3" s="3">
        <f>AVERAGE(B3,C3)</f>
        <v>1436.92</v>
      </c>
      <c r="E3" s="3">
        <f t="shared" ref="E3:E7" si="0">STDEV(B3:C3)</f>
        <v>72.167318087899005</v>
      </c>
      <c r="F3" s="26">
        <f t="shared" ref="F3:F7" si="1">E3/D3*100</f>
        <v>5.0223615850498984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25">
        <v>15</v>
      </c>
      <c r="B4" s="3">
        <v>1679.62</v>
      </c>
      <c r="C4" s="3">
        <v>2022.51</v>
      </c>
      <c r="D4" s="3">
        <f t="shared" ref="D4:D7" si="2">AVERAGE(B4:C4)</f>
        <v>1851.0650000000001</v>
      </c>
      <c r="E4" s="3">
        <f t="shared" si="0"/>
        <v>242.45984420105535</v>
      </c>
      <c r="F4" s="26">
        <f t="shared" si="1"/>
        <v>13.098397095782987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25">
        <v>20</v>
      </c>
      <c r="B5" s="3">
        <v>1384.61</v>
      </c>
      <c r="C5" s="3">
        <v>1671.26</v>
      </c>
      <c r="D5" s="3">
        <f t="shared" si="2"/>
        <v>1527.9349999999999</v>
      </c>
      <c r="E5" s="3">
        <f t="shared" si="0"/>
        <v>202.6921588271239</v>
      </c>
      <c r="F5" s="26">
        <f t="shared" si="1"/>
        <v>13.265757956138444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25">
        <v>30</v>
      </c>
      <c r="B6" s="3">
        <v>1576.1</v>
      </c>
      <c r="C6" s="3">
        <v>1083.28</v>
      </c>
      <c r="D6" s="3">
        <f t="shared" si="2"/>
        <v>1329.69</v>
      </c>
      <c r="E6" s="3">
        <f t="shared" si="0"/>
        <v>348.47636390435332</v>
      </c>
      <c r="F6" s="26">
        <f t="shared" si="1"/>
        <v>26.207338846223806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25">
        <v>40</v>
      </c>
      <c r="B7" s="3">
        <v>960.71299999999997</v>
      </c>
      <c r="C7" s="3">
        <v>1116.71</v>
      </c>
      <c r="D7" s="3">
        <f t="shared" si="2"/>
        <v>1038.7114999999999</v>
      </c>
      <c r="E7" s="3">
        <f t="shared" si="0"/>
        <v>110.3065365447579</v>
      </c>
      <c r="F7" s="26">
        <f t="shared" si="1"/>
        <v>10.619554760369738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27"/>
      <c r="B8" s="28" t="s">
        <v>10</v>
      </c>
      <c r="C8" s="29"/>
      <c r="D8" s="29"/>
      <c r="E8" s="29"/>
      <c r="F8" s="3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5" t="s">
        <v>81</v>
      </c>
      <c r="B9" s="3" t="s">
        <v>56</v>
      </c>
      <c r="C9" s="3" t="s">
        <v>56</v>
      </c>
      <c r="D9" s="3" t="s">
        <v>57</v>
      </c>
      <c r="E9" s="3" t="s">
        <v>58</v>
      </c>
      <c r="F9" s="26" t="s">
        <v>59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5">
        <v>10</v>
      </c>
      <c r="B10" s="3">
        <v>4167.7299999999996</v>
      </c>
      <c r="C10" s="3">
        <v>4171.8</v>
      </c>
      <c r="D10" s="3">
        <f t="shared" ref="D10:D14" si="3">AVERAGE(B10:C10)</f>
        <v>4169.7649999999994</v>
      </c>
      <c r="E10" s="3">
        <f t="shared" ref="E10:E14" si="4">STDEV(B10:C10)</f>
        <v>2.8779245994296856</v>
      </c>
      <c r="F10" s="26">
        <f t="shared" ref="F10:F14" si="5">E10/D10*100</f>
        <v>6.9018867956100308E-2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25">
        <v>15</v>
      </c>
      <c r="B11" s="3">
        <v>5997.43</v>
      </c>
      <c r="C11" s="3">
        <v>6309.38</v>
      </c>
      <c r="D11" s="3">
        <f t="shared" si="3"/>
        <v>6153.4050000000007</v>
      </c>
      <c r="E11" s="3">
        <f t="shared" si="4"/>
        <v>220.58196039114338</v>
      </c>
      <c r="F11" s="26">
        <f t="shared" si="5"/>
        <v>3.5847138355291643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5">
        <v>20</v>
      </c>
      <c r="B12" s="3">
        <v>6377.33</v>
      </c>
      <c r="C12" s="3">
        <v>6687.8</v>
      </c>
      <c r="D12" s="3">
        <f t="shared" si="3"/>
        <v>6532.5650000000005</v>
      </c>
      <c r="E12" s="3">
        <f t="shared" si="4"/>
        <v>219.53544235498759</v>
      </c>
      <c r="F12" s="26">
        <f t="shared" si="5"/>
        <v>3.3606315797085458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25">
        <v>30</v>
      </c>
      <c r="B13" s="3">
        <v>7763.04</v>
      </c>
      <c r="C13" s="3">
        <v>5048.99</v>
      </c>
      <c r="D13" s="3">
        <f t="shared" si="3"/>
        <v>6406.0149999999994</v>
      </c>
      <c r="E13" s="3">
        <f t="shared" si="4"/>
        <v>1919.1231594793499</v>
      </c>
      <c r="F13" s="26">
        <f t="shared" si="5"/>
        <v>29.958143393035296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1">
        <v>40</v>
      </c>
      <c r="B14" s="32">
        <v>5492.05</v>
      </c>
      <c r="C14" s="32">
        <v>6634.45</v>
      </c>
      <c r="D14" s="32">
        <f t="shared" si="3"/>
        <v>6063.25</v>
      </c>
      <c r="E14" s="32">
        <f t="shared" si="4"/>
        <v>807.79878682751166</v>
      </c>
      <c r="F14" s="33">
        <f t="shared" si="5"/>
        <v>13.322867881540621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3"/>
      <c r="B16" s="3" t="s">
        <v>60</v>
      </c>
      <c r="C16" s="3"/>
      <c r="D16" s="3"/>
      <c r="E16" s="3"/>
      <c r="F16" s="3"/>
      <c r="G16" s="3"/>
      <c r="H16" s="3"/>
      <c r="I16" s="6" t="s">
        <v>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3"/>
      <c r="B17" s="3"/>
      <c r="C17" s="3"/>
      <c r="D17" s="3"/>
      <c r="E17" s="3"/>
      <c r="F17" s="3"/>
      <c r="G17" s="3"/>
      <c r="H17" s="3"/>
      <c r="I17" s="34" t="s">
        <v>17</v>
      </c>
      <c r="J17" s="1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3"/>
      <c r="B18" s="3"/>
      <c r="C18" s="3"/>
      <c r="D18" s="3"/>
      <c r="E18" s="3"/>
      <c r="F18" s="3"/>
      <c r="G18" s="3"/>
      <c r="H18" s="3"/>
      <c r="I18" s="35" t="s">
        <v>82</v>
      </c>
      <c r="J18" s="1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3"/>
      <c r="B19" s="3"/>
      <c r="C19" s="3"/>
      <c r="D19" s="3"/>
      <c r="E19" s="3"/>
      <c r="F19" s="3"/>
      <c r="G19" s="3"/>
      <c r="H19" s="3"/>
      <c r="I19" s="35" t="s">
        <v>22</v>
      </c>
      <c r="J19" s="1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3"/>
      <c r="B20" s="3"/>
      <c r="C20" s="3"/>
      <c r="D20" s="3"/>
      <c r="E20" s="3"/>
      <c r="F20" s="3"/>
      <c r="G20" s="3"/>
      <c r="H20" s="3"/>
      <c r="I20" s="35" t="s">
        <v>26</v>
      </c>
      <c r="J20" s="1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5" t="s">
        <v>30</v>
      </c>
      <c r="J21" s="17" t="s">
        <v>83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5" t="s">
        <v>34</v>
      </c>
      <c r="J22" s="17" t="s">
        <v>84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5" t="s">
        <v>38</v>
      </c>
      <c r="J23" s="17" t="s">
        <v>85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5" t="s">
        <v>42</v>
      </c>
      <c r="J24" s="17" t="s">
        <v>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5" t="s">
        <v>45</v>
      </c>
      <c r="J25" s="17" t="s">
        <v>86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5" t="s">
        <v>48</v>
      </c>
      <c r="J26" s="17" t="s">
        <v>49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5" t="s">
        <v>51</v>
      </c>
      <c r="J27" s="17" t="s">
        <v>87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5" t="s">
        <v>53</v>
      </c>
      <c r="J28" s="17" t="s">
        <v>88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40" t="s">
        <v>89</v>
      </c>
      <c r="J29" s="20" t="s">
        <v>90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4"/>
      <c r="B30" s="28" t="s">
        <v>7</v>
      </c>
      <c r="C30" s="29"/>
      <c r="D30" s="29"/>
      <c r="E30" s="29"/>
      <c r="F30" s="1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25" t="s">
        <v>81</v>
      </c>
      <c r="B31" s="3" t="s">
        <v>56</v>
      </c>
      <c r="C31" s="3" t="s">
        <v>56</v>
      </c>
      <c r="D31" s="3" t="s">
        <v>57</v>
      </c>
      <c r="E31" s="3" t="s">
        <v>58</v>
      </c>
      <c r="F31" s="17" t="s">
        <v>59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5">
        <v>10</v>
      </c>
      <c r="B32" s="3">
        <v>1224.29</v>
      </c>
      <c r="C32" s="3">
        <v>1298.07</v>
      </c>
      <c r="D32" s="3">
        <f>AVERAGE(B32,C32)</f>
        <v>1261.1799999999998</v>
      </c>
      <c r="E32" s="3">
        <f t="shared" ref="E32:E37" si="6">STDEV(B32:C32)</f>
        <v>52.170338315943454</v>
      </c>
      <c r="F32" s="17">
        <f t="shared" ref="F32:F37" si="7">E32/D32*100</f>
        <v>4.1366290550074893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5">
        <v>15</v>
      </c>
      <c r="B33" s="3">
        <v>733.28099999999995</v>
      </c>
      <c r="C33" s="3">
        <v>730.16899999999998</v>
      </c>
      <c r="D33" s="3">
        <f t="shared" ref="D33:D37" si="8">AVERAGE(B33:C33)</f>
        <v>731.72499999999991</v>
      </c>
      <c r="E33" s="3">
        <f t="shared" si="6"/>
        <v>2.2005163030525119</v>
      </c>
      <c r="F33" s="17">
        <f t="shared" si="7"/>
        <v>0.30072996044313266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5">
        <v>20</v>
      </c>
      <c r="B34" s="3">
        <v>863.35900000000004</v>
      </c>
      <c r="C34" s="3">
        <v>871.678</v>
      </c>
      <c r="D34" s="3">
        <f t="shared" si="8"/>
        <v>867.51850000000002</v>
      </c>
      <c r="E34" s="3">
        <f t="shared" si="6"/>
        <v>5.8824213126908607</v>
      </c>
      <c r="F34" s="17">
        <f t="shared" si="7"/>
        <v>0.67807445174839043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5">
        <v>25</v>
      </c>
      <c r="B35" s="3">
        <v>782.15800000000002</v>
      </c>
      <c r="C35" s="3">
        <v>821.55100000000004</v>
      </c>
      <c r="D35" s="3">
        <f t="shared" si="8"/>
        <v>801.85450000000003</v>
      </c>
      <c r="E35" s="3">
        <f t="shared" si="6"/>
        <v>27.855057431281686</v>
      </c>
      <c r="F35" s="17">
        <f t="shared" si="7"/>
        <v>3.4738294081135277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5">
        <v>30</v>
      </c>
      <c r="B36" s="3">
        <v>932.27599999999995</v>
      </c>
      <c r="C36" s="3">
        <v>900.70500000000004</v>
      </c>
      <c r="D36" s="3">
        <f t="shared" si="8"/>
        <v>916.4905</v>
      </c>
      <c r="E36" s="3">
        <f t="shared" si="6"/>
        <v>22.324068188840432</v>
      </c>
      <c r="F36" s="17">
        <f t="shared" si="7"/>
        <v>2.4358210138392522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5">
        <v>40</v>
      </c>
      <c r="B37" s="3">
        <v>1049.8800000000001</v>
      </c>
      <c r="C37" s="3">
        <v>1043.19</v>
      </c>
      <c r="D37" s="3">
        <f t="shared" si="8"/>
        <v>1046.5350000000001</v>
      </c>
      <c r="E37" s="3">
        <f t="shared" si="6"/>
        <v>4.7305443661380417</v>
      </c>
      <c r="F37" s="17">
        <f t="shared" si="7"/>
        <v>0.45201969987989332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4"/>
      <c r="B38" s="28" t="s">
        <v>10</v>
      </c>
      <c r="C38" s="29"/>
      <c r="D38" s="29"/>
      <c r="E38" s="29"/>
      <c r="F38" s="1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25" t="s">
        <v>81</v>
      </c>
      <c r="B39" s="3" t="s">
        <v>56</v>
      </c>
      <c r="C39" s="3" t="s">
        <v>56</v>
      </c>
      <c r="D39" s="3" t="s">
        <v>57</v>
      </c>
      <c r="E39" s="3" t="s">
        <v>58</v>
      </c>
      <c r="F39" s="17" t="s">
        <v>59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5">
        <v>10</v>
      </c>
      <c r="B40" s="3">
        <v>3286.41</v>
      </c>
      <c r="C40" s="3">
        <v>3359.79</v>
      </c>
      <c r="D40" s="3">
        <f t="shared" ref="D40:D45" si="9">AVERAGE(B40:C40)</f>
        <v>3323.1</v>
      </c>
      <c r="E40" s="3">
        <f t="shared" ref="E40:E45" si="10">STDEV(B40:C40)</f>
        <v>51.887495603468935</v>
      </c>
      <c r="F40" s="17">
        <f t="shared" ref="F40:F45" si="11">E40/D40*100</f>
        <v>1.5614184226616394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5">
        <v>15</v>
      </c>
      <c r="B41" s="3">
        <v>2885.63</v>
      </c>
      <c r="C41" s="3">
        <v>2896.18</v>
      </c>
      <c r="D41" s="3">
        <f t="shared" si="9"/>
        <v>2890.9049999999997</v>
      </c>
      <c r="E41" s="3">
        <f t="shared" si="10"/>
        <v>7.4599765415178831</v>
      </c>
      <c r="F41" s="17">
        <f t="shared" si="11"/>
        <v>0.25804986817338804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5">
        <v>20</v>
      </c>
      <c r="B42" s="3">
        <v>3699.05</v>
      </c>
      <c r="C42" s="3">
        <v>3720.78</v>
      </c>
      <c r="D42" s="3">
        <f t="shared" si="9"/>
        <v>3709.915</v>
      </c>
      <c r="E42" s="3">
        <f t="shared" si="10"/>
        <v>15.36543035518369</v>
      </c>
      <c r="F42" s="17">
        <f t="shared" si="11"/>
        <v>0.41417203238305167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5">
        <v>25</v>
      </c>
      <c r="B43" s="3">
        <v>3602.11</v>
      </c>
      <c r="C43" s="3">
        <v>3652.99</v>
      </c>
      <c r="D43" s="3">
        <f t="shared" si="9"/>
        <v>3627.55</v>
      </c>
      <c r="E43" s="3">
        <f t="shared" si="10"/>
        <v>35.977593026771295</v>
      </c>
      <c r="F43" s="17">
        <f t="shared" si="11"/>
        <v>0.99178765356153031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5">
        <v>30</v>
      </c>
      <c r="B44" s="3">
        <v>4178.07</v>
      </c>
      <c r="C44" s="3">
        <v>4161.83</v>
      </c>
      <c r="D44" s="3">
        <f t="shared" si="9"/>
        <v>4169.95</v>
      </c>
      <c r="E44" s="3">
        <f t="shared" si="10"/>
        <v>11.483414126469379</v>
      </c>
      <c r="F44" s="17">
        <f t="shared" si="11"/>
        <v>0.27538493570592887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0">
        <v>40</v>
      </c>
      <c r="B45" s="41">
        <v>4956.2700000000004</v>
      </c>
      <c r="C45" s="41">
        <v>4814.1099999999997</v>
      </c>
      <c r="D45" s="41">
        <f t="shared" si="9"/>
        <v>4885.1900000000005</v>
      </c>
      <c r="E45" s="41">
        <f t="shared" si="10"/>
        <v>100.52230001348013</v>
      </c>
      <c r="F45" s="20">
        <f t="shared" si="11"/>
        <v>2.0576947879914624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/>
    <row r="247" spans="1:26" ht="15.75" customHeight="1" x14ac:dyDescent="0.2"/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47" zoomScaleNormal="85" workbookViewId="0">
      <selection activeCell="M30" sqref="M30"/>
    </sheetView>
  </sheetViews>
  <sheetFormatPr baseColWidth="10" defaultColWidth="14.5" defaultRowHeight="15" customHeight="1" x14ac:dyDescent="0.2"/>
  <cols>
    <col min="1" max="1" width="19.6640625" customWidth="1"/>
    <col min="2" max="2" width="10.5" customWidth="1"/>
    <col min="3" max="7" width="9.83203125" customWidth="1"/>
    <col min="8" max="10" width="12" customWidth="1"/>
    <col min="11" max="26" width="8.6640625" customWidth="1"/>
  </cols>
  <sheetData>
    <row r="1" spans="1:26" x14ac:dyDescent="0.2">
      <c r="A1" s="34"/>
      <c r="B1" s="28" t="s">
        <v>7</v>
      </c>
      <c r="C1" s="28"/>
      <c r="D1" s="29"/>
      <c r="E1" s="29"/>
      <c r="F1" s="29"/>
      <c r="G1" s="29"/>
      <c r="H1" s="29"/>
      <c r="I1" s="29"/>
      <c r="J1" s="1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5" t="s">
        <v>91</v>
      </c>
      <c r="B2" s="3" t="s">
        <v>56</v>
      </c>
      <c r="C2" s="3" t="s">
        <v>56</v>
      </c>
      <c r="D2" s="3" t="s">
        <v>56</v>
      </c>
      <c r="E2" s="3" t="s">
        <v>56</v>
      </c>
      <c r="F2" s="3" t="s">
        <v>56</v>
      </c>
      <c r="G2" s="3" t="s">
        <v>56</v>
      </c>
      <c r="H2" s="3" t="s">
        <v>57</v>
      </c>
      <c r="I2" s="3" t="s">
        <v>92</v>
      </c>
      <c r="J2" s="17" t="s">
        <v>59</v>
      </c>
      <c r="K2" s="3"/>
      <c r="L2" s="77" t="s">
        <v>93</v>
      </c>
      <c r="M2" s="77" t="s">
        <v>94</v>
      </c>
      <c r="N2" s="77" t="s">
        <v>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5">
        <v>0</v>
      </c>
      <c r="B3" s="3">
        <v>0</v>
      </c>
      <c r="C3" s="3">
        <v>0</v>
      </c>
      <c r="D3" s="3">
        <v>0</v>
      </c>
      <c r="E3" s="3"/>
      <c r="F3" s="3"/>
      <c r="G3" s="3"/>
      <c r="H3" s="3">
        <f t="shared" ref="H3:H17" si="0">AVERAGE(B3:G3)</f>
        <v>0</v>
      </c>
      <c r="I3" s="3">
        <f t="shared" ref="I3:I17" si="1">STDEV(B3:G3)</f>
        <v>0</v>
      </c>
      <c r="J3" s="17" t="e">
        <f t="shared" ref="J3:J17" si="2">I3/H3*100</f>
        <v>#DIV/0!</v>
      </c>
      <c r="K3" s="3"/>
      <c r="L3" s="3">
        <f>3*I4/1514.5</f>
        <v>8.0703943423811649E-3</v>
      </c>
      <c r="M3" s="3">
        <f>10*I4/1514.5</f>
        <v>2.6901314474603887E-2</v>
      </c>
      <c r="N3" s="3">
        <v>10.6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5">
        <v>0.04</v>
      </c>
      <c r="C4" s="3">
        <v>33.357199999999999</v>
      </c>
      <c r="D4" s="3">
        <v>38.594900000000003</v>
      </c>
      <c r="E4" s="3">
        <v>43.332500000000003</v>
      </c>
      <c r="F4" s="3">
        <v>38.371299999999998</v>
      </c>
      <c r="H4" s="3">
        <f>AVERAGE(B4:F4)</f>
        <v>38.413975000000001</v>
      </c>
      <c r="I4" s="3">
        <f>STDEV(B4:F4)</f>
        <v>4.0742040771787584</v>
      </c>
      <c r="J4" s="17">
        <f>I4/H4*100</f>
        <v>10.606046568153278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5">
        <v>0.05</v>
      </c>
      <c r="B5" s="3">
        <v>80.764200000000002</v>
      </c>
      <c r="C5" s="3">
        <v>82.449299999999994</v>
      </c>
      <c r="D5" s="3">
        <v>104.279</v>
      </c>
      <c r="E5" s="3">
        <v>64.753500000000003</v>
      </c>
      <c r="F5" s="3">
        <v>61.106400000000001</v>
      </c>
      <c r="G5" s="3">
        <v>102.495</v>
      </c>
      <c r="H5" s="3">
        <f t="shared" si="0"/>
        <v>82.641233333333332</v>
      </c>
      <c r="I5" s="3">
        <f t="shared" si="1"/>
        <v>18.16394858070975</v>
      </c>
      <c r="J5" s="17">
        <f t="shared" si="2"/>
        <v>21.979280618242328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5">
        <v>7.4999999999999997E-2</v>
      </c>
      <c r="B6" s="3">
        <v>151.649</v>
      </c>
      <c r="C6" s="3">
        <v>126.098</v>
      </c>
      <c r="D6" s="3">
        <v>112.79300000000001</v>
      </c>
      <c r="E6" s="3"/>
      <c r="F6" s="3"/>
      <c r="G6" s="3"/>
      <c r="H6" s="3">
        <f t="shared" si="0"/>
        <v>130.18</v>
      </c>
      <c r="I6" s="3">
        <f t="shared" si="1"/>
        <v>19.747005519824931</v>
      </c>
      <c r="J6" s="17">
        <f t="shared" si="2"/>
        <v>15.16900101384616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5">
        <v>0.1</v>
      </c>
      <c r="B7" s="3">
        <v>169.93</v>
      </c>
      <c r="C7" s="3">
        <v>135.846</v>
      </c>
      <c r="D7" s="3">
        <v>187.279</v>
      </c>
      <c r="E7" s="3"/>
      <c r="F7" s="3"/>
      <c r="G7" s="3"/>
      <c r="H7" s="3">
        <f t="shared" si="0"/>
        <v>164.35166666666666</v>
      </c>
      <c r="I7" s="3">
        <f t="shared" si="1"/>
        <v>26.166328063626555</v>
      </c>
      <c r="J7" s="17">
        <f t="shared" si="2"/>
        <v>15.920938676391005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5">
        <v>0.25</v>
      </c>
      <c r="B8" s="3">
        <v>354.54500000000002</v>
      </c>
      <c r="C8" s="3">
        <v>422.97</v>
      </c>
      <c r="D8" s="3">
        <v>367.55599999999998</v>
      </c>
      <c r="E8" s="3"/>
      <c r="F8" s="3"/>
      <c r="G8" s="3"/>
      <c r="H8" s="3">
        <f t="shared" si="0"/>
        <v>381.6903333333334</v>
      </c>
      <c r="I8" s="3">
        <f t="shared" si="1"/>
        <v>36.336341179779431</v>
      </c>
      <c r="J8" s="17">
        <f t="shared" si="2"/>
        <v>9.519848423315084</v>
      </c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5">
        <v>0.5</v>
      </c>
      <c r="B9" s="3">
        <v>806.52099999999996</v>
      </c>
      <c r="C9" s="3">
        <v>735.92499999999995</v>
      </c>
      <c r="D9" s="3">
        <v>728.63699999999994</v>
      </c>
      <c r="E9" s="3"/>
      <c r="F9" s="3"/>
      <c r="G9" s="3"/>
      <c r="H9" s="3">
        <f t="shared" si="0"/>
        <v>757.02766666666651</v>
      </c>
      <c r="I9" s="3">
        <f t="shared" si="1"/>
        <v>43.017104381086995</v>
      </c>
      <c r="J9" s="17">
        <f t="shared" si="2"/>
        <v>5.6823688585252503</v>
      </c>
      <c r="L9" s="3">
        <v>28.6708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5">
        <v>0.75</v>
      </c>
      <c r="B10" s="3">
        <v>1146.72</v>
      </c>
      <c r="C10" s="3">
        <v>1009.89</v>
      </c>
      <c r="D10" s="3">
        <v>1010.5</v>
      </c>
      <c r="E10" s="3"/>
      <c r="F10" s="3"/>
      <c r="G10" s="3"/>
      <c r="H10" s="3">
        <f t="shared" si="0"/>
        <v>1055.7033333333334</v>
      </c>
      <c r="I10" s="3">
        <f t="shared" si="1"/>
        <v>78.823335588728654</v>
      </c>
      <c r="J10" s="17">
        <f t="shared" si="2"/>
        <v>7.4664285978758542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5">
        <v>1</v>
      </c>
      <c r="B11" s="3">
        <v>1220.26</v>
      </c>
      <c r="C11" s="3">
        <v>1531.99</v>
      </c>
      <c r="D11" s="3">
        <v>1573.61</v>
      </c>
      <c r="E11" s="3"/>
      <c r="F11" s="3"/>
      <c r="G11" s="3"/>
      <c r="H11" s="3">
        <f t="shared" si="0"/>
        <v>1441.9533333333331</v>
      </c>
      <c r="I11" s="3">
        <f t="shared" si="1"/>
        <v>193.11656229680128</v>
      </c>
      <c r="J11" s="17">
        <f t="shared" si="2"/>
        <v>13.392705424826598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5">
        <v>2</v>
      </c>
      <c r="B12" s="3">
        <v>2771.48</v>
      </c>
      <c r="C12" s="3">
        <v>3245.64</v>
      </c>
      <c r="D12" s="3">
        <v>3054.97</v>
      </c>
      <c r="E12" s="3">
        <v>3202.15</v>
      </c>
      <c r="H12" s="3">
        <f t="shared" si="0"/>
        <v>3068.56</v>
      </c>
      <c r="I12" s="3">
        <f t="shared" si="1"/>
        <v>214.19992919388807</v>
      </c>
      <c r="J12" s="17">
        <f t="shared" si="2"/>
        <v>6.9804706179409255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5">
        <v>5</v>
      </c>
      <c r="B13" s="3">
        <v>5241.5600000000004</v>
      </c>
      <c r="C13" s="3">
        <v>5945.57</v>
      </c>
      <c r="D13" s="3">
        <v>6572.24</v>
      </c>
      <c r="E13" s="3"/>
      <c r="F13" s="3"/>
      <c r="G13" s="3"/>
      <c r="H13" s="3">
        <f t="shared" si="0"/>
        <v>5919.7900000000009</v>
      </c>
      <c r="I13" s="3">
        <f t="shared" si="1"/>
        <v>665.71448226698476</v>
      </c>
      <c r="J13" s="17">
        <f t="shared" si="2"/>
        <v>11.245575979333468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B14" s="3">
        <v>7270.95</v>
      </c>
      <c r="C14" s="3">
        <v>8104.42</v>
      </c>
      <c r="D14" s="3">
        <v>6206.06</v>
      </c>
      <c r="E14" s="3"/>
      <c r="F14" s="3"/>
      <c r="G14" s="3"/>
      <c r="I14" s="3">
        <f t="shared" si="1"/>
        <v>951.52803799992932</v>
      </c>
      <c r="J14" s="17">
        <f>I14/H19*100</f>
        <v>13.22703877361133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5">
        <v>10</v>
      </c>
      <c r="B15" s="3">
        <v>8390.34</v>
      </c>
      <c r="C15" s="3">
        <v>9575.3799999999992</v>
      </c>
      <c r="D15" s="3">
        <v>12011.9</v>
      </c>
      <c r="E15" s="3"/>
      <c r="F15" s="3"/>
      <c r="G15" s="3"/>
      <c r="H15" s="3">
        <f t="shared" si="0"/>
        <v>9992.5400000000009</v>
      </c>
      <c r="I15" s="3">
        <f t="shared" si="1"/>
        <v>1846.4671829198405</v>
      </c>
      <c r="J15" s="17">
        <f t="shared" si="2"/>
        <v>18.478456757939828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B16" s="3">
        <v>9661.5300000000007</v>
      </c>
      <c r="C16" s="3">
        <v>8466.2199999999993</v>
      </c>
      <c r="D16" s="3">
        <v>10325.5</v>
      </c>
      <c r="E16" s="3"/>
      <c r="F16" s="3"/>
      <c r="G16" s="3"/>
      <c r="I16" s="3">
        <f t="shared" si="1"/>
        <v>942.20877688192547</v>
      </c>
      <c r="J16" s="17">
        <f>I16/H20*100</f>
        <v>9.9342828346349776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" thickBot="1" x14ac:dyDescent="0.25">
      <c r="A17" s="66">
        <v>20</v>
      </c>
      <c r="B17">
        <f>B21*D18</f>
        <v>15101.735979801788</v>
      </c>
      <c r="C17">
        <f>C21*D18</f>
        <v>16621.7891290761</v>
      </c>
      <c r="D17">
        <f>D21*D18</f>
        <v>14179.432745376203</v>
      </c>
      <c r="E17" s="41"/>
      <c r="F17" s="41"/>
      <c r="G17" s="41"/>
      <c r="H17" s="3">
        <f t="shared" si="0"/>
        <v>15300.98595141803</v>
      </c>
      <c r="I17" s="3">
        <f t="shared" si="1"/>
        <v>1233.309202771841</v>
      </c>
      <c r="J17" s="20">
        <f t="shared" si="2"/>
        <v>8.0603250449853743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B18">
        <f>AVERAGE(B12:D12)</f>
        <v>3024.03</v>
      </c>
      <c r="C18">
        <f>AVERAGE(E12:G12)</f>
        <v>3202.15</v>
      </c>
      <c r="D18">
        <f>C18/B18</f>
        <v>1.0589015320615205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5">
        <v>7.5</v>
      </c>
      <c r="H19" s="3">
        <f>AVERAGE(B14:G14)</f>
        <v>7193.81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5">
        <v>15</v>
      </c>
      <c r="H20" s="3">
        <f>AVERAGE(B16:G16)</f>
        <v>9484.4166666666661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thickBot="1" x14ac:dyDescent="0.25">
      <c r="A21" s="40">
        <v>20</v>
      </c>
      <c r="B21" s="41">
        <v>14261.7</v>
      </c>
      <c r="C21" s="41">
        <v>15697.2</v>
      </c>
      <c r="D21" s="41">
        <v>13390.7</v>
      </c>
      <c r="F21" s="3">
        <v>4113.29</v>
      </c>
      <c r="G21" s="3">
        <v>3857.64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5">
        <v>0.5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5"/>
      <c r="B23" s="39" t="s">
        <v>10</v>
      </c>
      <c r="C23" s="39"/>
      <c r="D23" s="3"/>
      <c r="E23" s="3"/>
      <c r="F23" s="3"/>
      <c r="G23" s="3"/>
      <c r="H23" s="3">
        <f>AVERAGE(B31:G31)</f>
        <v>636.64700000000005</v>
      </c>
      <c r="I23" s="3"/>
      <c r="J23" s="1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5" t="s">
        <v>91</v>
      </c>
      <c r="B24" s="3" t="s">
        <v>56</v>
      </c>
      <c r="C24" s="3" t="s">
        <v>56</v>
      </c>
      <c r="D24" s="3" t="s">
        <v>56</v>
      </c>
      <c r="E24" s="3" t="s">
        <v>56</v>
      </c>
      <c r="F24" s="3" t="s">
        <v>56</v>
      </c>
      <c r="G24" s="3" t="s">
        <v>56</v>
      </c>
      <c r="H24" s="3" t="s">
        <v>57</v>
      </c>
      <c r="I24" s="3" t="s">
        <v>92</v>
      </c>
      <c r="J24" s="17" t="s">
        <v>59</v>
      </c>
      <c r="K24" s="3"/>
      <c r="L24" s="77" t="s">
        <v>93</v>
      </c>
      <c r="M24" s="77" t="s">
        <v>94</v>
      </c>
      <c r="N24" s="77" t="s">
        <v>95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5">
        <v>0</v>
      </c>
      <c r="B25" s="3">
        <v>0</v>
      </c>
      <c r="C25" s="3">
        <v>0</v>
      </c>
      <c r="D25" s="3">
        <v>0</v>
      </c>
      <c r="E25" s="3"/>
      <c r="F25" s="3"/>
      <c r="G25" s="3"/>
      <c r="H25" s="3">
        <f t="shared" ref="H25:H37" si="3">AVERAGE(B25:G25)</f>
        <v>0</v>
      </c>
      <c r="I25" s="3">
        <f t="shared" ref="I25:I39" si="4">STDEV(B25:G25)</f>
        <v>0</v>
      </c>
      <c r="J25" s="17" t="e">
        <f t="shared" ref="J25:J37" si="5">I25/H25*100</f>
        <v>#DIV/0!</v>
      </c>
      <c r="K25" s="3"/>
      <c r="L25" s="3">
        <f>3*I27/1564.6</f>
        <v>7.4174027378586865E-3</v>
      </c>
      <c r="M25" s="3">
        <f>10*I27/1564.6</f>
        <v>2.4724675792862291E-2</v>
      </c>
      <c r="N25" s="3">
        <v>7.8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5">
        <v>0.04</v>
      </c>
      <c r="B26" s="3">
        <v>40.495899999999999</v>
      </c>
      <c r="C26" s="3">
        <v>47.958500000000001</v>
      </c>
      <c r="D26" s="3">
        <v>51.5107</v>
      </c>
      <c r="E26" s="3">
        <v>46.915799999999997</v>
      </c>
      <c r="F26" s="3">
        <v>48.740099999999998</v>
      </c>
      <c r="G26" s="3">
        <v>49.009900000000002</v>
      </c>
      <c r="H26" s="3">
        <f t="shared" si="3"/>
        <v>47.43848333333333</v>
      </c>
      <c r="I26" s="3">
        <f t="shared" si="4"/>
        <v>3.7279909712426438</v>
      </c>
      <c r="J26" s="17">
        <f t="shared" si="5"/>
        <v>7.8585795946455095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5">
        <v>0.05</v>
      </c>
      <c r="B27" s="3">
        <v>79.558599999999998</v>
      </c>
      <c r="C27" s="3">
        <v>79.369799999999998</v>
      </c>
      <c r="D27" s="3">
        <v>76.733199999999997</v>
      </c>
      <c r="E27" s="3">
        <v>74.924000000000007</v>
      </c>
      <c r="F27" s="3">
        <v>73.987799999999993</v>
      </c>
      <c r="G27" s="3">
        <v>84.601799999999997</v>
      </c>
      <c r="H27" s="3">
        <f t="shared" si="3"/>
        <v>78.195866666666674</v>
      </c>
      <c r="I27" s="3">
        <f t="shared" si="4"/>
        <v>3.8684227745512336</v>
      </c>
      <c r="J27" s="17">
        <f t="shared" si="5"/>
        <v>4.9470936757329458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5">
        <v>7.4999999999999997E-2</v>
      </c>
      <c r="B28" s="3">
        <v>118.46899999999999</v>
      </c>
      <c r="C28" s="3">
        <v>102.077</v>
      </c>
      <c r="D28" s="3">
        <v>112.71899999999999</v>
      </c>
      <c r="E28" s="3"/>
      <c r="F28" s="3"/>
      <c r="G28" s="3"/>
      <c r="H28" s="3">
        <f t="shared" si="3"/>
        <v>111.08833333333332</v>
      </c>
      <c r="I28" s="3">
        <f t="shared" si="4"/>
        <v>8.3167734929678883</v>
      </c>
      <c r="J28" s="17">
        <f t="shared" si="5"/>
        <v>7.4866309030062164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5">
        <v>0.1</v>
      </c>
      <c r="B29" s="3">
        <v>186.84200000000001</v>
      </c>
      <c r="C29" s="3">
        <v>130.096</v>
      </c>
      <c r="D29" s="3">
        <v>160.98500000000001</v>
      </c>
      <c r="E29" s="3"/>
      <c r="F29" s="3"/>
      <c r="G29" s="3"/>
      <c r="H29" s="3">
        <f t="shared" si="3"/>
        <v>159.30766666666668</v>
      </c>
      <c r="I29" s="3">
        <f t="shared" si="4"/>
        <v>28.410160406680838</v>
      </c>
      <c r="J29" s="17">
        <f t="shared" si="5"/>
        <v>17.833517369961797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5">
        <v>0.25</v>
      </c>
      <c r="B30" s="3">
        <v>385.334</v>
      </c>
      <c r="C30" s="3">
        <v>467.06700000000001</v>
      </c>
      <c r="D30" s="3">
        <v>393.37299999999999</v>
      </c>
      <c r="E30" s="3"/>
      <c r="F30" s="3"/>
      <c r="G30" s="3"/>
      <c r="H30" s="3">
        <f t="shared" si="3"/>
        <v>415.25800000000004</v>
      </c>
      <c r="I30" s="3">
        <f t="shared" si="4"/>
        <v>45.047594175493998</v>
      </c>
      <c r="J30" s="17">
        <f t="shared" si="5"/>
        <v>10.84809785133435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B31" s="3">
        <v>522.74300000000005</v>
      </c>
      <c r="C31" s="3">
        <v>538.44100000000003</v>
      </c>
      <c r="D31" s="3">
        <v>848.75699999999995</v>
      </c>
      <c r="E31" s="3"/>
      <c r="F31" s="3"/>
      <c r="G31" s="3"/>
      <c r="I31" s="3">
        <f t="shared" si="4"/>
        <v>183.86026181858813</v>
      </c>
      <c r="J31" s="17">
        <f>I31/H23*100</f>
        <v>28.879467243007213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5">
        <v>0.75</v>
      </c>
      <c r="B32" s="3">
        <v>928.86</v>
      </c>
      <c r="C32" s="3">
        <v>1173.3699999999999</v>
      </c>
      <c r="D32" s="3">
        <v>1145.8</v>
      </c>
      <c r="E32" s="3"/>
      <c r="F32" s="3"/>
      <c r="G32" s="3"/>
      <c r="H32" s="3">
        <f t="shared" si="3"/>
        <v>1082.6766666666665</v>
      </c>
      <c r="I32" s="3">
        <f t="shared" si="4"/>
        <v>133.92050415576239</v>
      </c>
      <c r="J32" s="17">
        <f t="shared" si="5"/>
        <v>12.369390444893897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5">
        <v>1</v>
      </c>
      <c r="B33" s="3"/>
      <c r="C33" s="3">
        <v>1509.79</v>
      </c>
      <c r="D33" s="3">
        <v>1468.74</v>
      </c>
      <c r="E33" s="3"/>
      <c r="F33" s="3"/>
      <c r="G33" s="3"/>
      <c r="H33" s="3">
        <f t="shared" si="3"/>
        <v>1489.2649999999999</v>
      </c>
      <c r="I33" s="3">
        <f t="shared" si="4"/>
        <v>29.026733367707745</v>
      </c>
      <c r="J33" s="17">
        <f t="shared" si="5"/>
        <v>1.9490643617964396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5">
        <v>2</v>
      </c>
      <c r="B34" s="3">
        <v>3269.05</v>
      </c>
      <c r="C34" s="3">
        <v>3359.04</v>
      </c>
      <c r="D34" s="3">
        <v>3239.18</v>
      </c>
      <c r="E34" s="3">
        <v>2956.06</v>
      </c>
      <c r="H34" s="3">
        <f t="shared" si="3"/>
        <v>3205.8325</v>
      </c>
      <c r="I34" s="3">
        <f t="shared" si="4"/>
        <v>174.13342382112251</v>
      </c>
      <c r="J34" s="17">
        <f t="shared" si="5"/>
        <v>5.4317692462448521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5">
        <v>5</v>
      </c>
      <c r="B35" s="3">
        <v>7273.08</v>
      </c>
      <c r="C35" s="3">
        <v>8124.91</v>
      </c>
      <c r="D35" s="3">
        <v>8002.02</v>
      </c>
      <c r="E35" s="3"/>
      <c r="F35" s="3"/>
      <c r="G35" s="3"/>
      <c r="H35" s="3">
        <f>AVERAGE(B35:G35)</f>
        <v>7800.003333333334</v>
      </c>
      <c r="I35" s="3">
        <f t="shared" si="4"/>
        <v>460.44721460047231</v>
      </c>
      <c r="J35" s="17">
        <f>I35/H35*100</f>
        <v>5.9031668952338769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B36" s="3">
        <v>9564.34</v>
      </c>
      <c r="C36" s="3">
        <v>11084.5</v>
      </c>
      <c r="D36" s="3">
        <v>9561.02</v>
      </c>
      <c r="E36" s="3"/>
      <c r="F36" s="3"/>
      <c r="G36" s="3"/>
      <c r="I36" s="3">
        <f t="shared" si="4"/>
        <v>878.6247547920176</v>
      </c>
      <c r="J36" s="17">
        <f>I36/H40*100</f>
        <v>8.7252117830935081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5">
        <v>10</v>
      </c>
      <c r="B37" s="3">
        <v>15994.2</v>
      </c>
      <c r="C37" s="3">
        <v>15267.8</v>
      </c>
      <c r="D37" s="3">
        <v>16380.7</v>
      </c>
      <c r="E37" s="3"/>
      <c r="F37" s="3"/>
      <c r="G37" s="3"/>
      <c r="H37" s="3">
        <f t="shared" si="3"/>
        <v>15880.9</v>
      </c>
      <c r="I37" s="3">
        <f t="shared" si="4"/>
        <v>565.03475114368041</v>
      </c>
      <c r="J37" s="17">
        <f t="shared" si="5"/>
        <v>3.55795169759699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B38" s="3">
        <f>B45*C42</f>
        <v>10822.262841697855</v>
      </c>
      <c r="C38" s="3">
        <f>C45*C42</f>
        <v>11029.064542472233</v>
      </c>
      <c r="D38" s="3">
        <f>D45*C42</f>
        <v>15901.082533466702</v>
      </c>
      <c r="E38" s="3"/>
      <c r="F38" s="3"/>
      <c r="G38" s="3"/>
      <c r="I38" s="3">
        <f t="shared" si="4"/>
        <v>2874.4198170968957</v>
      </c>
      <c r="J38" s="17">
        <f>I38/H41*100</f>
        <v>22.841613211193067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thickBot="1" x14ac:dyDescent="0.25">
      <c r="A39" s="3">
        <v>20</v>
      </c>
      <c r="B39" s="3">
        <f>B46*C42</f>
        <v>19829.955349351945</v>
      </c>
      <c r="C39" s="3">
        <f>C46*C42</f>
        <v>18240.071782772742</v>
      </c>
      <c r="D39" s="3">
        <f>D46*C42</f>
        <v>19148.255696864479</v>
      </c>
      <c r="E39" s="41"/>
      <c r="F39" s="41"/>
      <c r="G39" s="41"/>
      <c r="H39" s="3">
        <f>AVERAGE(B39:G39)</f>
        <v>19072.760942996389</v>
      </c>
      <c r="I39" s="3">
        <f t="shared" si="4"/>
        <v>797.62587233354861</v>
      </c>
      <c r="J39" s="20">
        <f>I39/H39*100</f>
        <v>4.1820157800826454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5">
        <v>7.5</v>
      </c>
      <c r="E40" s="3"/>
      <c r="F40" s="3"/>
      <c r="G40" s="3"/>
      <c r="H40" s="3">
        <f>AVERAGE(B36:G36)</f>
        <v>10069.953333333333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>
        <v>15</v>
      </c>
      <c r="E41" s="3"/>
      <c r="F41" s="3"/>
      <c r="G41" s="3"/>
      <c r="H41" s="3">
        <f>AVERAGE(B38:G38)</f>
        <v>12584.136639212264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>
        <f>AVERAGE(B34:D34)</f>
        <v>3289.09</v>
      </c>
      <c r="C42" s="3">
        <f>B43/B42</f>
        <v>0.89874706985822816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>
        <f>AVERAGE(E34:G34)</f>
        <v>2956.06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5">
        <v>15</v>
      </c>
      <c r="B45" s="3">
        <v>12041.5</v>
      </c>
      <c r="C45" s="3">
        <v>12271.6</v>
      </c>
      <c r="D45" s="3">
        <v>17692.5</v>
      </c>
      <c r="E45" s="3">
        <v>4052.09</v>
      </c>
      <c r="F45" s="3">
        <v>4248.7299999999996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thickBot="1" x14ac:dyDescent="0.25">
      <c r="A46" s="40">
        <v>20</v>
      </c>
      <c r="B46" s="41">
        <v>22064</v>
      </c>
      <c r="C46" s="41">
        <v>20295</v>
      </c>
      <c r="D46" s="41">
        <v>21305.5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3560-586C-4471-8383-3612C33AB12D}">
  <dimension ref="A1:F22"/>
  <sheetViews>
    <sheetView topLeftCell="A7" workbookViewId="0">
      <selection activeCell="A23" sqref="A23"/>
    </sheetView>
  </sheetViews>
  <sheetFormatPr baseColWidth="10" defaultColWidth="9.1640625" defaultRowHeight="15" x14ac:dyDescent="0.2"/>
  <cols>
    <col min="1" max="1" width="19.33203125" style="67" bestFit="1" customWidth="1"/>
    <col min="2" max="2" width="10.5" style="67" bestFit="1" customWidth="1"/>
    <col min="3" max="3" width="9.83203125" style="67" bestFit="1" customWidth="1"/>
    <col min="4" max="4" width="9" style="67" bestFit="1" customWidth="1"/>
    <col min="5" max="6" width="12" style="67" bestFit="1" customWidth="1"/>
    <col min="7" max="16384" width="9.1640625" style="67"/>
  </cols>
  <sheetData>
    <row r="1" spans="1:6" x14ac:dyDescent="0.2">
      <c r="A1" s="69"/>
      <c r="B1" s="28" t="s">
        <v>7</v>
      </c>
      <c r="C1" s="70"/>
      <c r="D1" s="70"/>
      <c r="E1" s="70"/>
      <c r="F1" s="71"/>
    </row>
    <row r="2" spans="1:6" x14ac:dyDescent="0.2">
      <c r="A2" s="72"/>
      <c r="B2" s="68" t="s">
        <v>56</v>
      </c>
      <c r="C2" s="68" t="s">
        <v>56</v>
      </c>
      <c r="D2" s="68" t="s">
        <v>57</v>
      </c>
      <c r="E2" s="68" t="s">
        <v>92</v>
      </c>
      <c r="F2" s="73" t="s">
        <v>59</v>
      </c>
    </row>
    <row r="3" spans="1:6" x14ac:dyDescent="0.2">
      <c r="A3" s="72" t="s">
        <v>97</v>
      </c>
      <c r="B3" s="68">
        <v>964.60699999999997</v>
      </c>
      <c r="C3" s="68">
        <v>776.93</v>
      </c>
      <c r="D3" s="68">
        <v>870.76850000000002</v>
      </c>
      <c r="E3" s="68">
        <v>132.70767939999999</v>
      </c>
      <c r="F3" s="73">
        <v>15.24029399</v>
      </c>
    </row>
    <row r="4" spans="1:6" x14ac:dyDescent="0.2">
      <c r="A4" s="72" t="s">
        <v>98</v>
      </c>
      <c r="B4" s="68" t="s">
        <v>99</v>
      </c>
      <c r="C4" s="68" t="s">
        <v>99</v>
      </c>
      <c r="D4" s="68" t="e">
        <v>#DIV/0!</v>
      </c>
      <c r="E4" s="68" t="e">
        <v>#DIV/0!</v>
      </c>
      <c r="F4" s="73" t="e">
        <v>#DIV/0!</v>
      </c>
    </row>
    <row r="5" spans="1:6" x14ac:dyDescent="0.2">
      <c r="A5" s="72" t="s">
        <v>100</v>
      </c>
      <c r="B5" s="68" t="s">
        <v>99</v>
      </c>
      <c r="C5" s="68" t="s">
        <v>99</v>
      </c>
      <c r="D5" s="68" t="e">
        <v>#DIV/0!</v>
      </c>
      <c r="E5" s="68" t="e">
        <v>#DIV/0!</v>
      </c>
      <c r="F5" s="73" t="e">
        <v>#DIV/0!</v>
      </c>
    </row>
    <row r="6" spans="1:6" x14ac:dyDescent="0.2">
      <c r="A6" s="72" t="s">
        <v>101</v>
      </c>
      <c r="B6" s="68">
        <v>452.95800000000003</v>
      </c>
      <c r="C6" s="68">
        <v>532.87199999999996</v>
      </c>
      <c r="D6" s="68">
        <v>492.91500000000002</v>
      </c>
      <c r="E6" s="68">
        <v>56.507731309999997</v>
      </c>
      <c r="F6" s="73">
        <v>11.46399102</v>
      </c>
    </row>
    <row r="7" spans="1:6" x14ac:dyDescent="0.2">
      <c r="A7" s="72" t="s">
        <v>102</v>
      </c>
      <c r="B7" s="68">
        <v>746.024</v>
      </c>
      <c r="C7" s="68">
        <v>683.98199999999997</v>
      </c>
      <c r="D7" s="68">
        <v>715.00300000000004</v>
      </c>
      <c r="E7" s="68">
        <v>43.870318920000003</v>
      </c>
      <c r="F7" s="73">
        <v>6.1356831959999996</v>
      </c>
    </row>
    <row r="8" spans="1:6" x14ac:dyDescent="0.2">
      <c r="A8" s="72" t="s">
        <v>103</v>
      </c>
      <c r="B8" s="68" t="s">
        <v>99</v>
      </c>
      <c r="C8" s="68" t="s">
        <v>99</v>
      </c>
      <c r="D8" s="68" t="e">
        <v>#DIV/0!</v>
      </c>
      <c r="E8" s="68" t="e">
        <v>#DIV/0!</v>
      </c>
      <c r="F8" s="73" t="e">
        <v>#DIV/0!</v>
      </c>
    </row>
    <row r="9" spans="1:6" x14ac:dyDescent="0.2">
      <c r="A9" s="72" t="s">
        <v>104</v>
      </c>
      <c r="B9" s="68" t="s">
        <v>99</v>
      </c>
      <c r="C9" s="68" t="s">
        <v>99</v>
      </c>
      <c r="D9" s="68" t="e">
        <v>#DIV/0!</v>
      </c>
      <c r="E9" s="68" t="e">
        <v>#DIV/0!</v>
      </c>
      <c r="F9" s="73" t="e">
        <v>#DIV/0!</v>
      </c>
    </row>
    <row r="10" spans="1:6" x14ac:dyDescent="0.2">
      <c r="A10" s="72" t="s">
        <v>105</v>
      </c>
      <c r="B10" s="68">
        <v>661.01800000000003</v>
      </c>
      <c r="C10" s="68">
        <v>908.61199999999997</v>
      </c>
      <c r="D10" s="68">
        <v>784.81500000000005</v>
      </c>
      <c r="E10" s="68">
        <v>175.07539639999999</v>
      </c>
      <c r="F10" s="73">
        <v>22.307855530000001</v>
      </c>
    </row>
    <row r="11" spans="1:6" ht="16" thickBot="1" x14ac:dyDescent="0.25">
      <c r="A11" s="72" t="s">
        <v>106</v>
      </c>
      <c r="B11" s="68">
        <v>724.18200000000002</v>
      </c>
      <c r="C11" s="68">
        <v>545.04200000000003</v>
      </c>
      <c r="D11" s="68">
        <v>634.61199999999997</v>
      </c>
      <c r="E11" s="68">
        <v>126.6711088</v>
      </c>
      <c r="F11" s="73">
        <v>19.960402380000001</v>
      </c>
    </row>
    <row r="12" spans="1:6" x14ac:dyDescent="0.2">
      <c r="A12" s="72"/>
      <c r="B12" s="28" t="s">
        <v>10</v>
      </c>
      <c r="C12" s="68"/>
      <c r="D12" s="68"/>
      <c r="E12" s="68"/>
      <c r="F12" s="73"/>
    </row>
    <row r="13" spans="1:6" x14ac:dyDescent="0.2">
      <c r="A13" s="72"/>
      <c r="B13" s="68" t="s">
        <v>56</v>
      </c>
      <c r="C13" s="68" t="s">
        <v>56</v>
      </c>
      <c r="D13" s="68" t="s">
        <v>57</v>
      </c>
      <c r="E13" s="68" t="s">
        <v>92</v>
      </c>
      <c r="F13" s="73" t="s">
        <v>59</v>
      </c>
    </row>
    <row r="14" spans="1:6" x14ac:dyDescent="0.2">
      <c r="A14" s="72" t="s">
        <v>97</v>
      </c>
      <c r="B14" s="68">
        <v>985.351</v>
      </c>
      <c r="C14" s="68">
        <v>881.34500000000003</v>
      </c>
      <c r="D14" s="68">
        <v>933.34799999999996</v>
      </c>
      <c r="E14" s="68">
        <v>73.543347879999999</v>
      </c>
      <c r="F14" s="73">
        <v>7.8795205949999998</v>
      </c>
    </row>
    <row r="15" spans="1:6" x14ac:dyDescent="0.2">
      <c r="A15" s="72" t="s">
        <v>98</v>
      </c>
      <c r="B15" s="68" t="s">
        <v>99</v>
      </c>
      <c r="C15" s="68" t="s">
        <v>99</v>
      </c>
      <c r="D15" s="68" t="e">
        <v>#DIV/0!</v>
      </c>
      <c r="E15" s="68" t="e">
        <v>#DIV/0!</v>
      </c>
      <c r="F15" s="73" t="e">
        <v>#DIV/0!</v>
      </c>
    </row>
    <row r="16" spans="1:6" x14ac:dyDescent="0.2">
      <c r="A16" s="72" t="s">
        <v>100</v>
      </c>
      <c r="B16" s="68" t="s">
        <v>99</v>
      </c>
      <c r="C16" s="68" t="s">
        <v>99</v>
      </c>
      <c r="D16" s="68" t="e">
        <v>#DIV/0!</v>
      </c>
      <c r="E16" s="68" t="e">
        <v>#DIV/0!</v>
      </c>
      <c r="F16" s="73" t="e">
        <v>#DIV/0!</v>
      </c>
    </row>
    <row r="17" spans="1:6" x14ac:dyDescent="0.2">
      <c r="A17" s="72" t="s">
        <v>101</v>
      </c>
      <c r="B17" s="68">
        <v>684.56899999999996</v>
      </c>
      <c r="C17" s="68">
        <v>732.66</v>
      </c>
      <c r="D17" s="68">
        <v>708.61450000000002</v>
      </c>
      <c r="E17" s="68">
        <v>34.005472210000001</v>
      </c>
      <c r="F17" s="73">
        <v>4.7988676799999999</v>
      </c>
    </row>
    <row r="18" spans="1:6" x14ac:dyDescent="0.2">
      <c r="A18" s="72" t="s">
        <v>102</v>
      </c>
      <c r="B18" s="68">
        <v>715.90599999999995</v>
      </c>
      <c r="C18" s="68">
        <v>717.90700000000004</v>
      </c>
      <c r="D18" s="68">
        <v>716.90650000000005</v>
      </c>
      <c r="E18" s="68">
        <v>1.414920669</v>
      </c>
      <c r="F18" s="73">
        <v>0.19736474300000001</v>
      </c>
    </row>
    <row r="19" spans="1:6" x14ac:dyDescent="0.2">
      <c r="A19" s="72" t="s">
        <v>103</v>
      </c>
      <c r="B19" s="68" t="s">
        <v>99</v>
      </c>
      <c r="C19" s="68" t="s">
        <v>99</v>
      </c>
      <c r="D19" s="68" t="e">
        <v>#DIV/0!</v>
      </c>
      <c r="E19" s="68" t="e">
        <v>#DIV/0!</v>
      </c>
      <c r="F19" s="73" t="e">
        <v>#DIV/0!</v>
      </c>
    </row>
    <row r="20" spans="1:6" x14ac:dyDescent="0.2">
      <c r="A20" s="72" t="s">
        <v>104</v>
      </c>
      <c r="B20" s="68" t="s">
        <v>99</v>
      </c>
      <c r="C20" s="68" t="s">
        <v>99</v>
      </c>
      <c r="D20" s="68" t="e">
        <v>#DIV/0!</v>
      </c>
      <c r="E20" s="68" t="e">
        <v>#DIV/0!</v>
      </c>
      <c r="F20" s="73" t="e">
        <v>#DIV/0!</v>
      </c>
    </row>
    <row r="21" spans="1:6" x14ac:dyDescent="0.2">
      <c r="A21" s="72" t="s">
        <v>105</v>
      </c>
      <c r="B21" s="68">
        <v>883.88599999999997</v>
      </c>
      <c r="C21" s="68">
        <v>943.399</v>
      </c>
      <c r="D21" s="68">
        <v>913.64250000000004</v>
      </c>
      <c r="E21" s="68">
        <v>42.082045870000002</v>
      </c>
      <c r="F21" s="73">
        <v>4.6059641349999998</v>
      </c>
    </row>
    <row r="22" spans="1:6" ht="16" thickBot="1" x14ac:dyDescent="0.25">
      <c r="A22" s="74" t="s">
        <v>106</v>
      </c>
      <c r="B22" s="75">
        <v>970.52700000000004</v>
      </c>
      <c r="C22" s="75">
        <v>934.04499999999996</v>
      </c>
      <c r="D22" s="75">
        <v>952.28599999999994</v>
      </c>
      <c r="E22" s="75">
        <v>25.79666959</v>
      </c>
      <c r="F22" s="76">
        <v>2.708920386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21F5-9504-4E4E-A809-3BC08F161048}">
  <dimension ref="A1:S40"/>
  <sheetViews>
    <sheetView workbookViewId="0">
      <selection activeCell="N11" sqref="N11:S14"/>
    </sheetView>
  </sheetViews>
  <sheetFormatPr baseColWidth="10" defaultColWidth="9.1640625" defaultRowHeight="15" x14ac:dyDescent="0.2"/>
  <cols>
    <col min="1" max="1" width="22.83203125" style="67" customWidth="1"/>
    <col min="2" max="2" width="9.83203125" style="67" customWidth="1"/>
    <col min="3" max="3" width="10.1640625" style="67" customWidth="1"/>
    <col min="4" max="4" width="10.33203125" style="67" customWidth="1"/>
    <col min="5" max="8" width="9.1640625" style="67"/>
    <col min="9" max="9" width="7.5" style="67" bestFit="1" customWidth="1"/>
    <col min="10" max="10" width="11.33203125" style="67" bestFit="1" customWidth="1"/>
    <col min="11" max="13" width="9.1640625" style="67"/>
    <col min="14" max="14" width="13.5" style="67" customWidth="1"/>
    <col min="15" max="15" width="18" style="67" customWidth="1"/>
    <col min="16" max="16" width="9.1640625" style="67"/>
    <col min="17" max="17" width="14.6640625" style="67" customWidth="1"/>
    <col min="18" max="18" width="17.5" style="67" customWidth="1"/>
    <col min="19" max="16384" width="9.1640625" style="67"/>
  </cols>
  <sheetData>
    <row r="1" spans="1:19" x14ac:dyDescent="0.2">
      <c r="A1" s="78"/>
      <c r="B1" s="79" t="s">
        <v>7</v>
      </c>
      <c r="C1" s="80"/>
      <c r="D1" s="80"/>
      <c r="E1" s="80"/>
      <c r="F1" s="80"/>
      <c r="G1" s="81"/>
    </row>
    <row r="2" spans="1:19" x14ac:dyDescent="0.2">
      <c r="A2" s="82" t="s">
        <v>91</v>
      </c>
      <c r="B2" s="66" t="s">
        <v>56</v>
      </c>
      <c r="C2" s="66" t="s">
        <v>56</v>
      </c>
      <c r="D2" s="66" t="s">
        <v>56</v>
      </c>
      <c r="E2" s="66" t="s">
        <v>57</v>
      </c>
      <c r="F2" s="66" t="s">
        <v>58</v>
      </c>
      <c r="G2" s="83" t="s">
        <v>59</v>
      </c>
      <c r="J2" s="98" t="s">
        <v>130</v>
      </c>
      <c r="N2" s="67" t="s">
        <v>130</v>
      </c>
    </row>
    <row r="3" spans="1:19" ht="16" x14ac:dyDescent="0.2">
      <c r="A3" s="82" t="s">
        <v>109</v>
      </c>
      <c r="B3" s="90" t="s">
        <v>99</v>
      </c>
      <c r="C3" s="90" t="s">
        <v>99</v>
      </c>
      <c r="D3" s="66"/>
      <c r="E3" s="66" t="e">
        <f>AVERAGE(B3,C3,D3)</f>
        <v>#DIV/0!</v>
      </c>
      <c r="F3" s="66" t="e">
        <f>STDEV(B3:C3:D3)</f>
        <v>#DIV/0!</v>
      </c>
      <c r="G3" s="83" t="e">
        <f t="shared" ref="G3:G20" si="0">F3/E3*100</f>
        <v>#DIV/0!</v>
      </c>
      <c r="I3" s="93" t="s">
        <v>126</v>
      </c>
      <c r="J3" s="67" t="s">
        <v>127</v>
      </c>
      <c r="K3" s="95" t="s">
        <v>129</v>
      </c>
      <c r="N3" s="99" t="s">
        <v>126</v>
      </c>
      <c r="O3" s="67" t="s">
        <v>135</v>
      </c>
      <c r="P3" s="95" t="s">
        <v>129</v>
      </c>
      <c r="Q3" s="67" t="s">
        <v>128</v>
      </c>
      <c r="R3" s="67" t="s">
        <v>135</v>
      </c>
      <c r="S3" s="95" t="s">
        <v>129</v>
      </c>
    </row>
    <row r="4" spans="1:19" x14ac:dyDescent="0.2">
      <c r="A4" s="92">
        <v>0.1</v>
      </c>
      <c r="B4" s="90">
        <v>132.78</v>
      </c>
      <c r="C4" s="90">
        <v>127.09399999999999</v>
      </c>
      <c r="D4" s="66"/>
      <c r="E4" s="66">
        <f t="shared" ref="E4:E20" si="1">AVERAGE(B4,C4,D4)</f>
        <v>129.93700000000001</v>
      </c>
      <c r="F4" s="66">
        <f>STDEV(B4:C4:D4)</f>
        <v>4.0206091578267147</v>
      </c>
      <c r="G4" s="83">
        <f t="shared" si="0"/>
        <v>3.094275808912561</v>
      </c>
      <c r="I4" s="67">
        <v>0.1</v>
      </c>
      <c r="J4" s="96">
        <f>E10/E4*100</f>
        <v>108.93971693974771</v>
      </c>
      <c r="K4" s="67">
        <v>4.0999999999999996</v>
      </c>
      <c r="N4" s="67" t="s">
        <v>132</v>
      </c>
      <c r="O4" s="67">
        <v>108.9</v>
      </c>
      <c r="P4" s="67">
        <v>4.0999999999999996</v>
      </c>
      <c r="Q4" s="67" t="s">
        <v>132</v>
      </c>
      <c r="R4" s="67">
        <v>93.4</v>
      </c>
      <c r="S4" s="67">
        <v>9.6999999999999993</v>
      </c>
    </row>
    <row r="5" spans="1:19" x14ac:dyDescent="0.2">
      <c r="A5" s="92">
        <v>0.25</v>
      </c>
      <c r="B5" s="90">
        <v>342.96800000000002</v>
      </c>
      <c r="C5" s="90">
        <v>367.54700000000003</v>
      </c>
      <c r="D5" s="66"/>
      <c r="E5" s="66">
        <f t="shared" si="1"/>
        <v>355.25750000000005</v>
      </c>
      <c r="F5" s="66">
        <f>STDEV(B5:C5:D5)</f>
        <v>17.379977574784157</v>
      </c>
      <c r="G5" s="83">
        <f t="shared" si="0"/>
        <v>4.8922197489945054</v>
      </c>
      <c r="I5" s="94">
        <v>0.25</v>
      </c>
      <c r="J5" s="97">
        <f>E11/E5*100</f>
        <v>63.444778318074448</v>
      </c>
      <c r="N5" s="67" t="s">
        <v>133</v>
      </c>
      <c r="O5" s="67">
        <v>111.1</v>
      </c>
      <c r="P5" s="67">
        <v>9.1</v>
      </c>
      <c r="Q5" s="67" t="s">
        <v>133</v>
      </c>
      <c r="R5" s="67">
        <v>90.6</v>
      </c>
      <c r="S5" s="67">
        <v>10.7</v>
      </c>
    </row>
    <row r="6" spans="1:19" x14ac:dyDescent="0.2">
      <c r="A6" s="92">
        <v>0.75</v>
      </c>
      <c r="B6" s="90">
        <v>1363.08</v>
      </c>
      <c r="C6" s="90">
        <v>1304.19</v>
      </c>
      <c r="D6" s="66"/>
      <c r="E6" s="66">
        <f t="shared" si="1"/>
        <v>1333.635</v>
      </c>
      <c r="F6" s="66">
        <f>STDEV(B6:C6:D6)</f>
        <v>41.641518344075692</v>
      </c>
      <c r="G6" s="83">
        <f t="shared" si="0"/>
        <v>3.122407431124385</v>
      </c>
      <c r="I6" s="67">
        <v>0.75</v>
      </c>
      <c r="J6" s="96">
        <f>E12/E6*100</f>
        <v>83.544847978144958</v>
      </c>
      <c r="K6" s="67">
        <v>8.6999999999999993</v>
      </c>
      <c r="N6" s="67" t="s">
        <v>134</v>
      </c>
      <c r="O6" s="96">
        <v>100</v>
      </c>
      <c r="P6" s="67">
        <v>12.7</v>
      </c>
      <c r="Q6" s="67" t="s">
        <v>134</v>
      </c>
      <c r="R6" s="67">
        <v>84.9</v>
      </c>
      <c r="S6" s="67">
        <v>1.2</v>
      </c>
    </row>
    <row r="7" spans="1:19" x14ac:dyDescent="0.2">
      <c r="A7" s="92">
        <v>1</v>
      </c>
      <c r="B7" s="90">
        <v>1483.34</v>
      </c>
      <c r="C7" s="90">
        <v>1677.55</v>
      </c>
      <c r="D7" s="66"/>
      <c r="E7" s="66">
        <f t="shared" si="1"/>
        <v>1580.4449999999999</v>
      </c>
      <c r="F7" s="66">
        <f>STDEV(B7:C7:D7)</f>
        <v>137.32720797423943</v>
      </c>
      <c r="G7" s="83">
        <f t="shared" si="0"/>
        <v>8.689148181318517</v>
      </c>
      <c r="I7" s="67">
        <v>1</v>
      </c>
      <c r="J7" s="96">
        <f>E13/E7*100</f>
        <v>111.14738781376974</v>
      </c>
      <c r="K7" s="67">
        <v>9.1</v>
      </c>
    </row>
    <row r="8" spans="1:19" x14ac:dyDescent="0.2">
      <c r="A8" s="92">
        <v>2</v>
      </c>
      <c r="B8" s="90">
        <v>2666.72</v>
      </c>
      <c r="C8" s="90">
        <v>2332.0700000000002</v>
      </c>
      <c r="D8" s="66"/>
      <c r="E8" s="66">
        <f t="shared" si="1"/>
        <v>2499.395</v>
      </c>
      <c r="F8" s="66">
        <f>STDEV(B8:C8:D8)</f>
        <v>236.63328432407786</v>
      </c>
      <c r="G8" s="83">
        <f t="shared" si="0"/>
        <v>9.4676225376172187</v>
      </c>
      <c r="I8" s="67">
        <v>2</v>
      </c>
      <c r="J8" s="96">
        <f>E14/E8*100</f>
        <v>99.993398402413376</v>
      </c>
      <c r="K8" s="67">
        <v>12.7</v>
      </c>
    </row>
    <row r="9" spans="1:19" ht="16" x14ac:dyDescent="0.2">
      <c r="A9" s="82" t="s">
        <v>114</v>
      </c>
      <c r="B9" s="90" t="s">
        <v>99</v>
      </c>
      <c r="C9" s="90" t="s">
        <v>99</v>
      </c>
      <c r="D9" s="66"/>
      <c r="E9" s="66" t="e">
        <f t="shared" si="1"/>
        <v>#DIV/0!</v>
      </c>
      <c r="F9" s="66" t="e">
        <f>STDEV(B9:C9:D9)</f>
        <v>#DIV/0!</v>
      </c>
      <c r="G9" s="83" t="e">
        <f t="shared" si="0"/>
        <v>#DIV/0!</v>
      </c>
    </row>
    <row r="10" spans="1:19" x14ac:dyDescent="0.2">
      <c r="A10" s="82" t="s">
        <v>115</v>
      </c>
      <c r="B10" s="90">
        <v>145.67599999999999</v>
      </c>
      <c r="C10" s="90">
        <v>137.43</v>
      </c>
      <c r="D10" s="90"/>
      <c r="E10" s="66">
        <f t="shared" si="1"/>
        <v>141.553</v>
      </c>
      <c r="F10" s="66">
        <f>STDEV(B10:C10:D10)</f>
        <v>5.8308025176642575</v>
      </c>
      <c r="G10" s="83">
        <f t="shared" si="0"/>
        <v>4.1191656253588818</v>
      </c>
      <c r="I10" s="93" t="s">
        <v>128</v>
      </c>
      <c r="J10" s="67" t="s">
        <v>127</v>
      </c>
      <c r="N10" s="67" t="s">
        <v>131</v>
      </c>
    </row>
    <row r="11" spans="1:19" x14ac:dyDescent="0.2">
      <c r="A11" s="82" t="s">
        <v>116</v>
      </c>
      <c r="B11" s="90">
        <v>230.642</v>
      </c>
      <c r="C11" s="90">
        <v>223.75700000000001</v>
      </c>
      <c r="D11" s="90">
        <v>221.77799999999999</v>
      </c>
      <c r="E11" s="66">
        <f t="shared" si="1"/>
        <v>225.39233333333334</v>
      </c>
      <c r="F11" s="66">
        <f>STDEV(B11:C11:D11)</f>
        <v>4.6527798500824575</v>
      </c>
      <c r="G11" s="83">
        <f t="shared" si="0"/>
        <v>2.0643026234621069</v>
      </c>
      <c r="I11" s="67">
        <v>0.1</v>
      </c>
      <c r="J11" s="96">
        <f>E16/E4*100</f>
        <v>93.364476630982693</v>
      </c>
      <c r="K11" s="96">
        <v>9.6999999999999993</v>
      </c>
      <c r="N11" s="67" t="s">
        <v>126</v>
      </c>
      <c r="O11" s="67" t="s">
        <v>135</v>
      </c>
      <c r="P11" s="95" t="s">
        <v>129</v>
      </c>
      <c r="Q11" s="67" t="s">
        <v>128</v>
      </c>
      <c r="R11" s="67" t="s">
        <v>135</v>
      </c>
      <c r="S11" s="95" t="s">
        <v>129</v>
      </c>
    </row>
    <row r="12" spans="1:19" x14ac:dyDescent="0.2">
      <c r="A12" s="82" t="s">
        <v>117</v>
      </c>
      <c r="B12" s="90">
        <v>1021.85</v>
      </c>
      <c r="C12" s="90">
        <v>1215.02</v>
      </c>
      <c r="D12" s="90">
        <v>1105.68</v>
      </c>
      <c r="E12" s="66">
        <f t="shared" si="1"/>
        <v>1114.1833333333334</v>
      </c>
      <c r="F12" s="66">
        <f>STDEV(B12:C12:D12)</f>
        <v>96.865330399133668</v>
      </c>
      <c r="G12" s="83">
        <f t="shared" si="0"/>
        <v>8.6938412648247887</v>
      </c>
      <c r="I12" s="94">
        <v>0.25</v>
      </c>
      <c r="J12" s="97">
        <f>E17/E5*100</f>
        <v>72.840123009366437</v>
      </c>
      <c r="N12" s="67" t="s">
        <v>132</v>
      </c>
      <c r="O12" s="67">
        <v>120.7</v>
      </c>
      <c r="P12" s="67">
        <v>8.1</v>
      </c>
      <c r="Q12" s="67" t="s">
        <v>132</v>
      </c>
      <c r="R12" s="67">
        <v>114.7</v>
      </c>
      <c r="S12" s="67">
        <v>9.5</v>
      </c>
    </row>
    <row r="13" spans="1:19" x14ac:dyDescent="0.2">
      <c r="A13" s="82" t="s">
        <v>118</v>
      </c>
      <c r="B13" s="90">
        <v>1809.42</v>
      </c>
      <c r="C13" s="90">
        <v>1882.49</v>
      </c>
      <c r="D13" s="90">
        <v>1577.96</v>
      </c>
      <c r="E13" s="66">
        <f t="shared" si="1"/>
        <v>1756.6233333333332</v>
      </c>
      <c r="F13" s="66">
        <f>STDEV(B13:C13:D13)</f>
        <v>158.98190536452043</v>
      </c>
      <c r="G13" s="83">
        <f t="shared" si="0"/>
        <v>9.0504265967388431</v>
      </c>
      <c r="I13" s="94">
        <v>0.75</v>
      </c>
      <c r="J13" s="97">
        <f>E18/E6*100</f>
        <v>65.506979045990846</v>
      </c>
      <c r="N13" s="67" t="s">
        <v>133</v>
      </c>
      <c r="O13" s="67">
        <v>122.7</v>
      </c>
      <c r="P13" s="67">
        <v>4.0999999999999996</v>
      </c>
      <c r="Q13" s="67" t="s">
        <v>133</v>
      </c>
      <c r="R13" s="96">
        <v>118</v>
      </c>
      <c r="S13" s="67">
        <v>4.7</v>
      </c>
    </row>
    <row r="14" spans="1:19" x14ac:dyDescent="0.2">
      <c r="A14" s="82" t="s">
        <v>119</v>
      </c>
      <c r="B14" s="90">
        <v>2724.31</v>
      </c>
      <c r="C14" s="90">
        <v>2274.15</v>
      </c>
      <c r="D14" s="90"/>
      <c r="E14" s="66">
        <f t="shared" si="1"/>
        <v>2499.23</v>
      </c>
      <c r="F14" s="66">
        <f>STDEV(B14:C14:D14)</f>
        <v>318.31118861893611</v>
      </c>
      <c r="G14" s="83">
        <f t="shared" si="0"/>
        <v>12.736370346824266</v>
      </c>
      <c r="I14" s="67">
        <v>1</v>
      </c>
      <c r="J14" s="96">
        <f>E19/E7*100</f>
        <v>90.56457727623129</v>
      </c>
      <c r="K14" s="67">
        <v>10.7</v>
      </c>
      <c r="N14" s="67" t="s">
        <v>134</v>
      </c>
      <c r="O14" s="67">
        <v>111.5</v>
      </c>
      <c r="P14" s="67">
        <v>3.9</v>
      </c>
      <c r="Q14" s="67" t="s">
        <v>134</v>
      </c>
      <c r="R14" s="67">
        <v>109.6</v>
      </c>
      <c r="S14" s="67">
        <v>10.6</v>
      </c>
    </row>
    <row r="15" spans="1:19" ht="16" x14ac:dyDescent="0.2">
      <c r="A15" s="82" t="s">
        <v>120</v>
      </c>
      <c r="B15" s="90" t="s">
        <v>99</v>
      </c>
      <c r="C15" s="90" t="s">
        <v>99</v>
      </c>
      <c r="D15" s="90"/>
      <c r="E15" s="66" t="e">
        <f t="shared" si="1"/>
        <v>#DIV/0!</v>
      </c>
      <c r="F15" s="66" t="e">
        <f>STDEV(B15:C15:D15)</f>
        <v>#DIV/0!</v>
      </c>
      <c r="G15" s="83" t="e">
        <f t="shared" si="0"/>
        <v>#DIV/0!</v>
      </c>
      <c r="I15" s="67">
        <v>2</v>
      </c>
      <c r="J15" s="96">
        <f>E20/E8*100</f>
        <v>84.853734603774114</v>
      </c>
      <c r="K15" s="67">
        <v>1.2</v>
      </c>
    </row>
    <row r="16" spans="1:19" x14ac:dyDescent="0.2">
      <c r="A16" s="82" t="s">
        <v>121</v>
      </c>
      <c r="B16" s="90">
        <v>133.02000000000001</v>
      </c>
      <c r="C16" s="90">
        <v>109.452</v>
      </c>
      <c r="D16" s="90">
        <v>121.473</v>
      </c>
      <c r="E16" s="66">
        <f t="shared" si="1"/>
        <v>121.315</v>
      </c>
      <c r="F16" s="66">
        <f>STDEV(B16:C16:D16)</f>
        <v>11.784794397867115</v>
      </c>
      <c r="G16" s="83">
        <f t="shared" si="0"/>
        <v>9.7142104421276141</v>
      </c>
    </row>
    <row r="17" spans="1:11" x14ac:dyDescent="0.2">
      <c r="A17" s="82" t="s">
        <v>122</v>
      </c>
      <c r="B17" s="90">
        <v>236.14500000000001</v>
      </c>
      <c r="C17" s="90">
        <v>263.91899999999998</v>
      </c>
      <c r="D17" s="90">
        <v>276.24599999999998</v>
      </c>
      <c r="E17" s="66">
        <f t="shared" si="1"/>
        <v>258.77</v>
      </c>
      <c r="F17" s="66">
        <f>STDEV(B17:C17:D17)</f>
        <v>20.540367596515875</v>
      </c>
      <c r="G17" s="83">
        <f t="shared" si="0"/>
        <v>7.9376927760234475</v>
      </c>
    </row>
    <row r="18" spans="1:11" x14ac:dyDescent="0.2">
      <c r="A18" s="82" t="s">
        <v>123</v>
      </c>
      <c r="B18" s="90">
        <v>840.52099999999996</v>
      </c>
      <c r="C18" s="90"/>
      <c r="D18" s="90">
        <v>906.72699999999998</v>
      </c>
      <c r="E18" s="66">
        <f t="shared" si="1"/>
        <v>873.62400000000002</v>
      </c>
      <c r="F18" s="66">
        <f>STDEV(B18:C18:D18)</f>
        <v>46.814711555236578</v>
      </c>
      <c r="G18" s="83">
        <f t="shared" si="0"/>
        <v>5.3586796556913017</v>
      </c>
      <c r="I18" s="67">
        <v>0.1</v>
      </c>
      <c r="J18" s="67">
        <f>E30/E24*100</f>
        <v>120.72345163535144</v>
      </c>
      <c r="K18" s="67">
        <v>8.1</v>
      </c>
    </row>
    <row r="19" spans="1:11" x14ac:dyDescent="0.2">
      <c r="A19" s="82" t="s">
        <v>124</v>
      </c>
      <c r="B19" s="90">
        <v>1261.52</v>
      </c>
      <c r="C19" s="90">
        <v>1559.99</v>
      </c>
      <c r="D19" s="90">
        <v>1472.46</v>
      </c>
      <c r="E19" s="66">
        <f t="shared" si="1"/>
        <v>1431.3233333333335</v>
      </c>
      <c r="F19" s="66">
        <f>STDEV(B19:C19:D19)</f>
        <v>153.42833582273303</v>
      </c>
      <c r="G19" s="83">
        <f t="shared" si="0"/>
        <v>10.719334496240055</v>
      </c>
      <c r="I19" s="67">
        <v>1</v>
      </c>
      <c r="J19" s="67">
        <f>E33/E27*100</f>
        <v>122.66254223313673</v>
      </c>
      <c r="K19" s="67">
        <v>4.0999999999999996</v>
      </c>
    </row>
    <row r="20" spans="1:11" ht="16" thickBot="1" x14ac:dyDescent="0.25">
      <c r="A20" s="87" t="s">
        <v>125</v>
      </c>
      <c r="B20" s="91">
        <v>2103.3000000000002</v>
      </c>
      <c r="C20" s="91">
        <v>2138.36</v>
      </c>
      <c r="D20" s="88"/>
      <c r="E20" s="88">
        <f t="shared" si="1"/>
        <v>2120.83</v>
      </c>
      <c r="F20" s="88">
        <f>STDEV(B20:C20:D20)</f>
        <v>24.791163748400319</v>
      </c>
      <c r="G20" s="89">
        <f t="shared" si="0"/>
        <v>1.168936866622988</v>
      </c>
      <c r="I20" s="67">
        <v>2</v>
      </c>
      <c r="J20" s="67">
        <f>E34/E28*100</f>
        <v>111.46212526766597</v>
      </c>
      <c r="K20" s="67">
        <v>3.9</v>
      </c>
    </row>
    <row r="21" spans="1:11" x14ac:dyDescent="0.2">
      <c r="A21" s="82"/>
      <c r="B21" s="39" t="s">
        <v>10</v>
      </c>
      <c r="C21" s="66"/>
      <c r="D21" s="66"/>
      <c r="E21" s="66"/>
      <c r="F21" s="66"/>
      <c r="G21" s="83"/>
    </row>
    <row r="22" spans="1:11" x14ac:dyDescent="0.2">
      <c r="A22" s="82" t="s">
        <v>91</v>
      </c>
      <c r="B22" s="66" t="s">
        <v>56</v>
      </c>
      <c r="C22" s="66" t="s">
        <v>56</v>
      </c>
      <c r="D22" s="66" t="s">
        <v>56</v>
      </c>
      <c r="E22" s="66" t="s">
        <v>57</v>
      </c>
      <c r="F22" s="66" t="s">
        <v>58</v>
      </c>
      <c r="G22" s="83" t="s">
        <v>59</v>
      </c>
      <c r="I22" s="67">
        <v>0.1</v>
      </c>
      <c r="J22" s="67">
        <f>E36/E24*100</f>
        <v>114.71092553931805</v>
      </c>
      <c r="K22" s="67">
        <v>9.5</v>
      </c>
    </row>
    <row r="23" spans="1:11" ht="16" x14ac:dyDescent="0.2">
      <c r="A23" s="82" t="s">
        <v>109</v>
      </c>
      <c r="B23" s="90" t="s">
        <v>99</v>
      </c>
      <c r="C23" s="90" t="s">
        <v>99</v>
      </c>
      <c r="D23" s="66"/>
      <c r="E23" s="66" t="e">
        <f>AVERAGE(B23:C23:D23)</f>
        <v>#DIV/0!</v>
      </c>
      <c r="F23" s="66" t="e">
        <f>STDEV(B23:C23:D23)</f>
        <v>#DIV/0!</v>
      </c>
      <c r="G23" s="83" t="e">
        <f t="shared" ref="G23:G40" si="2">F23/E23*100</f>
        <v>#DIV/0!</v>
      </c>
      <c r="I23" s="67">
        <v>1</v>
      </c>
      <c r="J23" s="67">
        <f>E39/E27*100</f>
        <v>117.96922810518093</v>
      </c>
      <c r="K23" s="67">
        <v>4.7</v>
      </c>
    </row>
    <row r="24" spans="1:11" x14ac:dyDescent="0.2">
      <c r="A24" s="82">
        <v>0.1</v>
      </c>
      <c r="B24" s="90">
        <v>130.185</v>
      </c>
      <c r="C24" s="90">
        <v>109.315</v>
      </c>
      <c r="D24" s="66"/>
      <c r="E24" s="66">
        <f>AVERAGE(B24:C24:D24)</f>
        <v>119.75</v>
      </c>
      <c r="F24" s="66">
        <f>STDEV(B24:C24:D24)</f>
        <v>14.757318523363251</v>
      </c>
      <c r="G24" s="83">
        <f t="shared" si="2"/>
        <v>12.323439267944259</v>
      </c>
      <c r="I24" s="67">
        <v>2</v>
      </c>
      <c r="J24" s="67">
        <f>E40/E28*100</f>
        <v>109.54965203426124</v>
      </c>
      <c r="K24" s="67">
        <v>10.6</v>
      </c>
    </row>
    <row r="25" spans="1:11" x14ac:dyDescent="0.2">
      <c r="A25" s="82" t="s">
        <v>110</v>
      </c>
      <c r="B25" s="90">
        <v>359.50599999999997</v>
      </c>
      <c r="C25" s="90">
        <v>361.94799999999998</v>
      </c>
      <c r="D25" s="66"/>
      <c r="E25" s="66">
        <f>AVERAGE(B25:C25:D25)</f>
        <v>360.72699999999998</v>
      </c>
      <c r="F25" s="66">
        <f>STDEV(B25:C25:D25)</f>
        <v>1.7267547596575543</v>
      </c>
      <c r="G25" s="83">
        <f t="shared" si="2"/>
        <v>0.47868741725946617</v>
      </c>
    </row>
    <row r="26" spans="1:11" x14ac:dyDescent="0.2">
      <c r="A26" s="82" t="s">
        <v>111</v>
      </c>
      <c r="B26" s="90">
        <v>1419.08</v>
      </c>
      <c r="C26" s="90">
        <v>1308.6099999999999</v>
      </c>
      <c r="D26" s="66"/>
      <c r="E26" s="66">
        <f>AVERAGE(B26:C26:D26)</f>
        <v>1363.8449999999998</v>
      </c>
      <c r="F26" s="66">
        <f>STDEV(B26:C26:D26)</f>
        <v>78.114086117677928</v>
      </c>
      <c r="G26" s="83">
        <f t="shared" si="2"/>
        <v>5.7274900093249554</v>
      </c>
    </row>
    <row r="27" spans="1:11" x14ac:dyDescent="0.2">
      <c r="A27" s="82" t="s">
        <v>112</v>
      </c>
      <c r="B27" s="90">
        <v>1556.94</v>
      </c>
      <c r="C27" s="90">
        <v>1831</v>
      </c>
      <c r="D27" s="66"/>
      <c r="E27" s="66">
        <f>AVERAGE(B27:C27:D27)</f>
        <v>1693.97</v>
      </c>
      <c r="F27" s="66">
        <f>STDEV(B27:C27:D27)</f>
        <v>193.78968445198518</v>
      </c>
      <c r="G27" s="83">
        <f t="shared" si="2"/>
        <v>11.439971454747438</v>
      </c>
    </row>
    <row r="28" spans="1:11" x14ac:dyDescent="0.2">
      <c r="A28" s="82" t="s">
        <v>113</v>
      </c>
      <c r="B28" s="90">
        <v>3775</v>
      </c>
      <c r="C28" s="90">
        <v>3697</v>
      </c>
      <c r="D28" s="68"/>
      <c r="E28" s="66">
        <f>AVERAGE(B28:C28:D28)</f>
        <v>3736</v>
      </c>
      <c r="F28" s="66">
        <f>STDEV(B28:C28:D28)</f>
        <v>55.154328932550705</v>
      </c>
      <c r="G28" s="83">
        <f t="shared" si="2"/>
        <v>1.4762936009783381</v>
      </c>
    </row>
    <row r="29" spans="1:11" ht="16" x14ac:dyDescent="0.2">
      <c r="A29" s="82" t="s">
        <v>114</v>
      </c>
      <c r="B29" s="90" t="s">
        <v>99</v>
      </c>
      <c r="C29" s="90" t="s">
        <v>99</v>
      </c>
      <c r="D29" s="68"/>
      <c r="E29" s="66" t="e">
        <f>AVERAGE(B29:C29:D29)</f>
        <v>#DIV/0!</v>
      </c>
      <c r="F29" s="66" t="e">
        <f>STDEV(B29:C29:D29)</f>
        <v>#DIV/0!</v>
      </c>
      <c r="G29" s="83" t="e">
        <f t="shared" si="2"/>
        <v>#DIV/0!</v>
      </c>
    </row>
    <row r="30" spans="1:11" x14ac:dyDescent="0.2">
      <c r="A30" s="82" t="s">
        <v>115</v>
      </c>
      <c r="B30" s="90">
        <v>152.358</v>
      </c>
      <c r="C30" s="90">
        <v>131.053</v>
      </c>
      <c r="D30" s="90">
        <v>150.28800000000001</v>
      </c>
      <c r="E30" s="66">
        <f>AVERAGE(B30:C30:D30)</f>
        <v>144.56633333333335</v>
      </c>
      <c r="F30" s="66">
        <f>STDEV(B30:C30:D30)</f>
        <v>11.748568352498676</v>
      </c>
      <c r="G30" s="83">
        <f t="shared" si="2"/>
        <v>8.1267665033804608</v>
      </c>
    </row>
    <row r="31" spans="1:11" x14ac:dyDescent="0.2">
      <c r="A31" s="82" t="s">
        <v>116</v>
      </c>
      <c r="B31" s="90">
        <v>307.70100000000002</v>
      </c>
      <c r="C31" s="90">
        <v>312.70600000000002</v>
      </c>
      <c r="D31" s="90">
        <v>359.05399999999997</v>
      </c>
      <c r="E31" s="66">
        <f>AVERAGE(B31:C31:D31)</f>
        <v>326.48700000000002</v>
      </c>
      <c r="F31" s="66">
        <f>STDEV(B31:C31:D31)</f>
        <v>28.314653856263163</v>
      </c>
      <c r="G31" s="83">
        <f t="shared" si="2"/>
        <v>8.6725210670756141</v>
      </c>
    </row>
    <row r="32" spans="1:11" x14ac:dyDescent="0.2">
      <c r="A32" s="82" t="s">
        <v>117</v>
      </c>
      <c r="B32" s="90">
        <v>1292.23</v>
      </c>
      <c r="C32" s="90">
        <v>1450.21</v>
      </c>
      <c r="D32" s="90">
        <v>1126.5899999999999</v>
      </c>
      <c r="E32" s="66">
        <f>AVERAGE(B32:C32:D32)</f>
        <v>1289.6766666666665</v>
      </c>
      <c r="F32" s="66">
        <f>STDEV(B32:C32:D32)</f>
        <v>161.82510847619989</v>
      </c>
      <c r="G32" s="83">
        <f t="shared" si="2"/>
        <v>12.547727089957942</v>
      </c>
    </row>
    <row r="33" spans="1:7" x14ac:dyDescent="0.2">
      <c r="A33" s="82" t="s">
        <v>118</v>
      </c>
      <c r="B33" s="90">
        <v>1988.82</v>
      </c>
      <c r="C33" s="90">
        <v>2083.08</v>
      </c>
      <c r="D33" s="90">
        <v>2161.6999999999998</v>
      </c>
      <c r="E33" s="66">
        <f>AVERAGE(B33:C33:D33)</f>
        <v>2077.8666666666663</v>
      </c>
      <c r="F33" s="66">
        <f>STDEV(B33:C33:D33)</f>
        <v>86.557828839067597</v>
      </c>
      <c r="G33" s="83">
        <f t="shared" si="2"/>
        <v>4.165706598389419</v>
      </c>
    </row>
    <row r="34" spans="1:7" x14ac:dyDescent="0.2">
      <c r="A34" s="82" t="s">
        <v>119</v>
      </c>
      <c r="B34" s="90">
        <v>4278.1899999999996</v>
      </c>
      <c r="C34" s="90">
        <v>4050.26</v>
      </c>
      <c r="D34" s="90"/>
      <c r="E34" s="66">
        <f>AVERAGE(B34:C34:D34)</f>
        <v>4164.2250000000004</v>
      </c>
      <c r="F34" s="66">
        <f>STDEV(B34:C34:D34)</f>
        <v>161.17084863584935</v>
      </c>
      <c r="G34" s="83">
        <f t="shared" si="2"/>
        <v>3.870368403144627</v>
      </c>
    </row>
    <row r="35" spans="1:7" ht="16" x14ac:dyDescent="0.2">
      <c r="A35" s="82" t="s">
        <v>120</v>
      </c>
      <c r="B35" s="90" t="s">
        <v>99</v>
      </c>
      <c r="C35" s="90" t="s">
        <v>99</v>
      </c>
      <c r="D35" s="90"/>
      <c r="E35" s="66" t="e">
        <f>AVERAGE(B35:C35:D35)</f>
        <v>#DIV/0!</v>
      </c>
      <c r="F35" s="66" t="e">
        <f>STDEV(B35:C35:D35)</f>
        <v>#DIV/0!</v>
      </c>
      <c r="G35" s="83" t="e">
        <f t="shared" si="2"/>
        <v>#DIV/0!</v>
      </c>
    </row>
    <row r="36" spans="1:7" x14ac:dyDescent="0.2">
      <c r="A36" s="82" t="s">
        <v>121</v>
      </c>
      <c r="B36" s="90">
        <v>145.62700000000001</v>
      </c>
      <c r="C36" s="90">
        <v>122.271</v>
      </c>
      <c r="D36" s="90">
        <v>144.20099999999999</v>
      </c>
      <c r="E36" s="66">
        <f>AVERAGE(B36:C36:D36)</f>
        <v>137.36633333333336</v>
      </c>
      <c r="F36" s="66">
        <f>STDEV(B36:C36:D36)</f>
        <v>13.092371264722575</v>
      </c>
      <c r="G36" s="83">
        <f t="shared" si="2"/>
        <v>9.5309898335515779</v>
      </c>
    </row>
    <row r="37" spans="1:7" x14ac:dyDescent="0.2">
      <c r="A37" s="82" t="s">
        <v>122</v>
      </c>
      <c r="B37" s="90">
        <v>317.654</v>
      </c>
      <c r="C37" s="90">
        <v>354.19799999999998</v>
      </c>
      <c r="D37" s="90">
        <v>335.92</v>
      </c>
      <c r="E37" s="66">
        <f>AVERAGE(B37:C37:D37)</f>
        <v>335.92399999999998</v>
      </c>
      <c r="F37" s="66">
        <f>STDEV(B37:C37:D37)</f>
        <v>18.272000328371266</v>
      </c>
      <c r="G37" s="83">
        <f t="shared" si="2"/>
        <v>5.4393256594858563</v>
      </c>
    </row>
    <row r="38" spans="1:7" x14ac:dyDescent="0.2">
      <c r="A38" s="82" t="s">
        <v>123</v>
      </c>
      <c r="B38" s="90">
        <v>1400.36</v>
      </c>
      <c r="C38" s="90"/>
      <c r="D38" s="90">
        <v>1539.48</v>
      </c>
      <c r="E38" s="66">
        <f>AVERAGE(B38:C38:D38)</f>
        <v>1469.92</v>
      </c>
      <c r="F38" s="66">
        <f>STDEV(B38:C38:D38)</f>
        <v>98.372695398672562</v>
      </c>
      <c r="G38" s="83">
        <f t="shared" si="2"/>
        <v>6.6923843065386253</v>
      </c>
    </row>
    <row r="39" spans="1:7" x14ac:dyDescent="0.2">
      <c r="A39" s="82" t="s">
        <v>124</v>
      </c>
      <c r="B39" s="90">
        <v>2046.98</v>
      </c>
      <c r="C39" s="90">
        <v>2058.1</v>
      </c>
      <c r="D39" s="90">
        <v>1890.01</v>
      </c>
      <c r="E39" s="66">
        <f>AVERAGE(B39:C39:D39)</f>
        <v>1998.3633333333335</v>
      </c>
      <c r="F39" s="66">
        <f>STDEV(B39:C39:D39)</f>
        <v>94.001315061723105</v>
      </c>
      <c r="G39" s="83">
        <f t="shared" si="2"/>
        <v>4.7039151236289909</v>
      </c>
    </row>
    <row r="40" spans="1:7" ht="16" thickBot="1" x14ac:dyDescent="0.25">
      <c r="A40" s="87" t="s">
        <v>125</v>
      </c>
      <c r="B40" s="91">
        <v>3785.93</v>
      </c>
      <c r="C40" s="91">
        <v>4399.62</v>
      </c>
      <c r="D40" s="75"/>
      <c r="E40" s="88">
        <f>AVERAGE(B40:C40:D40)</f>
        <v>4092.7749999999996</v>
      </c>
      <c r="F40" s="88">
        <f>STDEV(B40:C40:D40)</f>
        <v>433.94436054637237</v>
      </c>
      <c r="G40" s="89">
        <f t="shared" si="2"/>
        <v>10.602692807358634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1:A1000"/>
  <sheetViews>
    <sheetView workbookViewId="0"/>
  </sheetViews>
  <sheetFormatPr baseColWidth="10"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ENES UYSAL genel bilgiler</vt:lpstr>
      <vt:lpstr>MNP Türü</vt:lpstr>
      <vt:lpstr>ENES UYSAL MNP Miktarı optimiza</vt:lpstr>
      <vt:lpstr>ENES UYSAL Tampon türü optimi</vt:lpstr>
      <vt:lpstr>ENES UYSAL Tampon miktarı</vt:lpstr>
      <vt:lpstr>Karıştırma Türü</vt:lpstr>
      <vt:lpstr>Karıştırma Periyodu</vt:lpstr>
      <vt:lpstr>Elüent Türü</vt:lpstr>
      <vt:lpstr>Elüent Miktarı</vt:lpstr>
      <vt:lpstr>Standart Miktarı</vt:lpstr>
      <vt:lpstr>LOD-LOQ</vt:lpstr>
      <vt:lpstr>İdrar Deneme</vt:lpstr>
      <vt:lpstr>Recovery</vt:lpstr>
      <vt:lpstr>HPLC Cihaz Optimizasyonları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Ümit Can ERİM</cp:lastModifiedBy>
  <dcterms:created xsi:type="dcterms:W3CDTF">2015-06-05T18:17:20Z</dcterms:created>
  <dcterms:modified xsi:type="dcterms:W3CDTF">2026-02-19T17:48:27Z</dcterms:modified>
</cp:coreProperties>
</file>